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AAC CONDUCTOR" sheetId="1" r:id="rId5"/>
    <sheet state="visible" name="AERIAL BUNCHED CABLE" sheetId="2" r:id="rId6"/>
    <sheet state="visible" name="ACSR CONDUCTOR" sheetId="3" r:id="rId7"/>
    <sheet state="visible" name="1 STRAND MC ARMOURED CABLE (WIR" sheetId="4" r:id="rId8"/>
    <sheet state="visible" name="DRUM PACKING" sheetId="5" r:id="rId9"/>
  </sheets>
  <definedNames/>
  <calcPr/>
</workbook>
</file>

<file path=xl/sharedStrings.xml><?xml version="1.0" encoding="utf-8"?>
<sst xmlns="http://schemas.openxmlformats.org/spreadsheetml/2006/main" count="306" uniqueCount="175">
  <si>
    <t>NAME</t>
  </si>
  <si>
    <t>Nominal Area</t>
  </si>
  <si>
    <t>No of Strands</t>
  </si>
  <si>
    <t>Diameter</t>
  </si>
  <si>
    <t>Aluminium Weight</t>
  </si>
  <si>
    <t>ALUMINIUM CG GRADE</t>
  </si>
  <si>
    <t>ALUMINIUM ALLOY GRADE T4</t>
  </si>
  <si>
    <t>Cost of Conductor (Aluminium) Per Mtr</t>
  </si>
  <si>
    <t>Cost of Conductor (Alloy) Per Mtr</t>
  </si>
  <si>
    <t>Cost of Conductor (Aluminium) Per KG</t>
  </si>
  <si>
    <t>Cost of Conductor (Alloy) Per KG</t>
  </si>
  <si>
    <t>Mole</t>
  </si>
  <si>
    <t>Squirrel</t>
  </si>
  <si>
    <t>Weasel</t>
  </si>
  <si>
    <t>Rabbit</t>
  </si>
  <si>
    <t>Raccoon</t>
  </si>
  <si>
    <t>Dog</t>
  </si>
  <si>
    <t>Dog(up)</t>
  </si>
  <si>
    <t>Coyote</t>
  </si>
  <si>
    <t>Wolf</t>
  </si>
  <si>
    <t>Wolf(up)</t>
  </si>
  <si>
    <t>Panther</t>
  </si>
  <si>
    <t>Panther (up)</t>
  </si>
  <si>
    <t>Kundah</t>
  </si>
  <si>
    <t>Zebra</t>
  </si>
  <si>
    <t>Zebra (up)</t>
  </si>
  <si>
    <t>Moose</t>
  </si>
  <si>
    <t>Custom</t>
  </si>
  <si>
    <t>SIZE</t>
  </si>
  <si>
    <t>TYPE</t>
  </si>
  <si>
    <t>PHASE SIZE</t>
  </si>
  <si>
    <t>STL SIZE</t>
  </si>
  <si>
    <t>MESSENGER SIZE</t>
  </si>
  <si>
    <t>INSULATION THICKNESS (PHASE)</t>
  </si>
  <si>
    <t>INSULATION THICKNESS (STL)</t>
  </si>
  <si>
    <t>INSULATION THICKNESS (MESSENGER)</t>
  </si>
  <si>
    <t>OD (PHASE)</t>
  </si>
  <si>
    <t>WEIGHT  ALUMINIUM (PER KM)</t>
  </si>
  <si>
    <t>WEIGHT  ALLOY (PER KM)</t>
  </si>
  <si>
    <t>WEIGHT INSULATION (PER KM)</t>
  </si>
  <si>
    <t>TOTAL WEIGHT (PER KM)</t>
  </si>
  <si>
    <t>ALUMINIUM ALLOY GRADE</t>
  </si>
  <si>
    <t>ALUMINIUM ECR GRADE</t>
  </si>
  <si>
    <t>XLPE</t>
  </si>
  <si>
    <t>LD</t>
  </si>
  <si>
    <t>COST</t>
  </si>
  <si>
    <t>PROFIT</t>
  </si>
  <si>
    <t>FINAL RATE</t>
  </si>
  <si>
    <t>3CX16+16 SQ MM</t>
  </si>
  <si>
    <t>ISI</t>
  </si>
  <si>
    <t>COMM-1</t>
  </si>
  <si>
    <t>NA</t>
  </si>
  <si>
    <t>COMM-2</t>
  </si>
  <si>
    <t>COMM-3</t>
  </si>
  <si>
    <t>3CX16+25 SQ MM</t>
  </si>
  <si>
    <t>3CX25+16 SQ MM</t>
  </si>
  <si>
    <t>2CX25+16 SQ MM</t>
  </si>
  <si>
    <t>3CX25+25 SQ MM</t>
  </si>
  <si>
    <t>3CX25+16+25 SQ MM</t>
  </si>
  <si>
    <t>3CX35+25 SQ MM</t>
  </si>
  <si>
    <t>3CX35+16+25 SQ MM</t>
  </si>
  <si>
    <t>3CX50+35 SQ MM</t>
  </si>
  <si>
    <t>3CX50+16+35 SQ MM</t>
  </si>
  <si>
    <t>3CX70+50 SQ MM</t>
  </si>
  <si>
    <t>3CX70+16+50 SQ MM</t>
  </si>
  <si>
    <t>3CX95+50 SQ MM</t>
  </si>
  <si>
    <t>3CX95+16+50 SQ MM</t>
  </si>
  <si>
    <t>3CX95+70 SQ MM</t>
  </si>
  <si>
    <t>3CX95+16+70 SQ MM</t>
  </si>
  <si>
    <t>3CX120+16+70 SQ MM</t>
  </si>
  <si>
    <t>SIZE SPECS</t>
  </si>
  <si>
    <t>NO OF WIRES (ALUMINIUM)</t>
  </si>
  <si>
    <t>NO OF WIRES (STEEL)</t>
  </si>
  <si>
    <t>SIZE ALUMINIUM</t>
  </si>
  <si>
    <t>SIZE STEEL</t>
  </si>
  <si>
    <t>WEIGHT  ALUMINIUM</t>
  </si>
  <si>
    <t>WEIGHT STEEL</t>
  </si>
  <si>
    <t>TOTAL WEIGHT</t>
  </si>
  <si>
    <t>ALUMINIUM EC GRADE</t>
  </si>
  <si>
    <t>STEEL RATE</t>
  </si>
  <si>
    <t>Cost of Conductor (ISI) Per Mtr</t>
  </si>
  <si>
    <t>Cost of Conductor (Commercial) Per Mtr</t>
  </si>
  <si>
    <t>Cost of Conductor (ISI) Per KG</t>
  </si>
  <si>
    <t>Cost of Conductor (Commercial) Per KG</t>
  </si>
  <si>
    <t>ALUMINIUM</t>
  </si>
  <si>
    <t>STEEL</t>
  </si>
  <si>
    <t>MOLE</t>
  </si>
  <si>
    <t>6/1.50</t>
  </si>
  <si>
    <t>1/1.50</t>
  </si>
  <si>
    <t>SPECIAL</t>
  </si>
  <si>
    <t>6/1.96</t>
  </si>
  <si>
    <t>1/1.96</t>
  </si>
  <si>
    <t>SQIRREL</t>
  </si>
  <si>
    <t>WEASEL</t>
  </si>
  <si>
    <t>6/2.59</t>
  </si>
  <si>
    <t>1/2.59</t>
  </si>
  <si>
    <t>RABBIT</t>
  </si>
  <si>
    <t>6/3.35</t>
  </si>
  <si>
    <t>1/3.35</t>
  </si>
  <si>
    <t>RACCOON</t>
  </si>
  <si>
    <t>6/4.09</t>
  </si>
  <si>
    <t>1/4.09</t>
  </si>
  <si>
    <t>DOG</t>
  </si>
  <si>
    <t>6/4.72</t>
  </si>
  <si>
    <t>7/1.57</t>
  </si>
  <si>
    <t>WOLF</t>
  </si>
  <si>
    <t>30/2.59</t>
  </si>
  <si>
    <t>7/2.59</t>
  </si>
  <si>
    <t>PANTHER</t>
  </si>
  <si>
    <t>30/3.00</t>
  </si>
  <si>
    <t>7/3.00</t>
  </si>
  <si>
    <t>KUNDAH</t>
  </si>
  <si>
    <t>42/3.50</t>
  </si>
  <si>
    <t>7/1.96</t>
  </si>
  <si>
    <t>ZEBRA</t>
  </si>
  <si>
    <t>54/3.18</t>
  </si>
  <si>
    <t>7/3.18</t>
  </si>
  <si>
    <t>MOOSE</t>
  </si>
  <si>
    <t>54/3.53</t>
  </si>
  <si>
    <t>7/3.53</t>
  </si>
  <si>
    <t>BERSIMIS</t>
  </si>
  <si>
    <t>42/4.57</t>
  </si>
  <si>
    <t>7/2.54</t>
  </si>
  <si>
    <t>CUSTOM</t>
  </si>
  <si>
    <t>0.00/0.00</t>
  </si>
  <si>
    <t>0/0.00</t>
  </si>
  <si>
    <t>No of Cores</t>
  </si>
  <si>
    <t>Cross-Sectional Area 
(sq mm)</t>
  </si>
  <si>
    <t>Wire Size (mm)</t>
  </si>
  <si>
    <t>Actual Area (sq mm)</t>
  </si>
  <si>
    <t>Density of Aluminium</t>
  </si>
  <si>
    <t>Weight of Aluminium (kg/km)</t>
  </si>
  <si>
    <t>Insulation Thikness (mm)</t>
  </si>
  <si>
    <t>Dia of Core</t>
  </si>
  <si>
    <t>Insulation Area</t>
  </si>
  <si>
    <t>Density of Insulation</t>
  </si>
  <si>
    <t>Weight of Insulation (kg/km)</t>
  </si>
  <si>
    <t>Color Master Batch 2%</t>
  </si>
  <si>
    <t>Inner Filler Thikness (mm)</t>
  </si>
  <si>
    <t>Laidup Dia</t>
  </si>
  <si>
    <t>Inner Dia</t>
  </si>
  <si>
    <t>Inner Area</t>
  </si>
  <si>
    <t>Density Of Inner Filler</t>
  </si>
  <si>
    <t>Weight of Inner Filling (kg/km)</t>
  </si>
  <si>
    <t>Wir/Strip</t>
  </si>
  <si>
    <t>Wire/Strip Armoured (mm)</t>
  </si>
  <si>
    <t>Wire/Strip Covering %</t>
  </si>
  <si>
    <t>No of Wire/Strips</t>
  </si>
  <si>
    <t>Dia After Armouring</t>
  </si>
  <si>
    <t>Density of Strip Armoured</t>
  </si>
  <si>
    <t>Weight of Wire/Strip Armoured (kg/km)</t>
  </si>
  <si>
    <t>Jacketing Thikness (mm)</t>
  </si>
  <si>
    <t>Final Outer Dia</t>
  </si>
  <si>
    <t>Area of Jacketing</t>
  </si>
  <si>
    <t>Density of jacketing</t>
  </si>
  <si>
    <t>Weight of Jacketing (kg/km)</t>
  </si>
  <si>
    <t>Shining Master Batch 2%</t>
  </si>
  <si>
    <t>PVC ST1/TYPE A</t>
  </si>
  <si>
    <t>G.I. WIRE 1.4 MM</t>
  </si>
  <si>
    <t>PVC ST2</t>
  </si>
  <si>
    <t>Master Batch (XLPE)</t>
  </si>
  <si>
    <t>Master Batch (PVC)</t>
  </si>
  <si>
    <t>Cost of Aluminium</t>
  </si>
  <si>
    <t>Cost of Insulation</t>
  </si>
  <si>
    <t>Cost of Inner</t>
  </si>
  <si>
    <t>Cost of Armouring</t>
  </si>
  <si>
    <t>Cost of Jacketing</t>
  </si>
  <si>
    <t>Coat of Master Batch (XLPE)</t>
  </si>
  <si>
    <t>Coat of Master Batch (PVC)</t>
  </si>
  <si>
    <t>Total RM Cost</t>
  </si>
  <si>
    <t>Total RM Cost per MTR</t>
  </si>
  <si>
    <t>Processing Cost</t>
  </si>
  <si>
    <t>Final Rate</t>
  </si>
  <si>
    <t>Wire</t>
  </si>
  <si>
    <t>Strip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</si>
</sst>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 &quot;SQMM&quot;"/>
    <numFmt numFmtId="165" formatCode="0.000"/>
  </numFmts>
  <fonts count="20">
    <font>
      <sz val="11.0"/>
      <color theme="1"/>
      <name val="Calibri"/>
      <scheme val="minor"/>
    </font>
    <font>
      <sz val="11.0"/>
      <color theme="1"/>
      <name val="SeOGE UI"/>
    </font>
    <font>
      <b/>
      <sz val="12.0"/>
      <color theme="1"/>
      <name val="SeOGE UI"/>
    </font>
    <font>
      <b/>
      <sz val="12.0"/>
      <color theme="1"/>
      <name val="Arial"/>
    </font>
    <font>
      <sz val="14.0"/>
      <color rgb="FF1F2937"/>
      <name val="SeOGE UI"/>
    </font>
    <font>
      <sz val="14.0"/>
      <color rgb="FF1F2937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Arial"/>
    </font>
    <font>
      <color rgb="FF1F2937"/>
      <name val="Arial"/>
    </font>
    <font>
      <color theme="1"/>
      <name val="Calibri"/>
      <scheme val="minor"/>
    </font>
    <font/>
    <font>
      <sz val="11.0"/>
      <color theme="1"/>
      <name val="Arial"/>
    </font>
    <font>
      <color rgb="FF1F2937"/>
      <name val="Inter"/>
    </font>
    <font>
      <sz val="10.0"/>
      <color rgb="FF000000"/>
      <name val="Arial"/>
    </font>
    <font>
      <b/>
      <sz val="10.0"/>
      <color rgb="FF274E13"/>
      <name val="Arial"/>
    </font>
    <font>
      <b/>
      <sz val="10.0"/>
      <color rgb="FF000000"/>
      <name val="Arial"/>
    </font>
    <font>
      <sz val="10.0"/>
      <color rgb="FFFF0000"/>
      <name val="Arial"/>
    </font>
    <font>
      <sz val="10.0"/>
      <color rgb="FF385623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theme="5"/>
        <bgColor theme="5"/>
      </patternFill>
    </fill>
    <fill>
      <patternFill patternType="solid">
        <fgColor rgb="FFBFBFBF"/>
        <bgColor rgb="FFBFBFBF"/>
      </patternFill>
    </fill>
    <fill>
      <patternFill patternType="solid">
        <fgColor rgb="FFBDBDBD"/>
        <bgColor rgb="FFBDBDBD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374151"/>
        <bgColor rgb="FF374151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EF2CB"/>
        <bgColor rgb="FFFEF2CB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2" fontId="4" numFmtId="0" xfId="0" applyAlignment="1" applyBorder="1" applyFill="1" applyFont="1">
      <alignment vertical="center"/>
    </xf>
    <xf borderId="1" fillId="3" fontId="4" numFmtId="0" xfId="0" applyAlignment="1" applyBorder="1" applyFill="1" applyFont="1">
      <alignment shrinkToFit="0" vertical="center" wrapText="1"/>
    </xf>
    <xf borderId="1" fillId="3" fontId="4" numFmtId="0" xfId="0" applyAlignment="1" applyBorder="1" applyFont="1">
      <alignment vertical="center"/>
    </xf>
    <xf borderId="1" fillId="3" fontId="4" numFmtId="2" xfId="0" applyAlignment="1" applyBorder="1" applyFont="1" applyNumberFormat="1">
      <alignment shrinkToFit="0" vertical="center" wrapText="1"/>
    </xf>
    <xf borderId="1" fillId="4" fontId="5" numFmtId="2" xfId="0" applyAlignment="1" applyBorder="1" applyFill="1" applyFont="1" applyNumberFormat="1">
      <alignment readingOrder="0" shrinkToFit="0" vertical="center" wrapText="1"/>
    </xf>
    <xf borderId="1" fillId="3" fontId="4" numFmtId="2" xfId="0" applyAlignment="1" applyBorder="1" applyFont="1" applyNumberFormat="1">
      <alignment vertical="center"/>
    </xf>
    <xf borderId="1" fillId="4" fontId="4" numFmtId="2" xfId="0" applyAlignment="1" applyBorder="1" applyFont="1" applyNumberFormat="1">
      <alignment shrinkToFit="0" vertical="center" wrapText="1"/>
    </xf>
    <xf borderId="1" fillId="5" fontId="5" numFmtId="2" xfId="0" applyAlignment="1" applyBorder="1" applyFill="1" applyFont="1" applyNumberFormat="1">
      <alignment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6" fontId="6" numFmtId="2" xfId="0" applyAlignment="1" applyBorder="1" applyFont="1" applyNumberFormat="1">
      <alignment horizontal="center" readingOrder="0" shrinkToFit="0" vertical="center" wrapText="1"/>
    </xf>
    <xf borderId="1" fillId="7" fontId="6" numFmtId="2" xfId="0" applyAlignment="1" applyBorder="1" applyFill="1" applyFont="1" applyNumberFormat="1">
      <alignment horizontal="center" readingOrder="0" shrinkToFit="0" vertical="center" wrapText="1"/>
    </xf>
    <xf borderId="1" fillId="8" fontId="6" numFmtId="2" xfId="0" applyAlignment="1" applyBorder="1" applyFill="1" applyFont="1" applyNumberFormat="1">
      <alignment horizontal="center" readingOrder="0" vertical="center"/>
    </xf>
    <xf borderId="1" fillId="8" fontId="6" numFmtId="2" xfId="0" applyAlignment="1" applyBorder="1" applyFont="1" applyNumberFormat="1">
      <alignment horizontal="center" readingOrder="0" shrinkToFit="0" vertical="center" wrapText="1"/>
    </xf>
    <xf borderId="1" fillId="9" fontId="7" numFmtId="2" xfId="0" applyAlignment="1" applyBorder="1" applyFill="1" applyFont="1" applyNumberFormat="1">
      <alignment horizontal="center" readingOrder="0" shrinkToFit="0" vertical="center" wrapText="1"/>
    </xf>
    <xf borderId="1" fillId="9" fontId="7" numFmtId="2" xfId="0" applyAlignment="1" applyBorder="1" applyFont="1" applyNumberFormat="1">
      <alignment horizontal="center" readingOrder="0" vertical="center"/>
    </xf>
    <xf borderId="0" fillId="8" fontId="6" numFmtId="0" xfId="0" applyAlignment="1" applyFont="1">
      <alignment readingOrder="0"/>
    </xf>
    <xf borderId="0" fillId="0" fontId="8" numFmtId="0" xfId="0" applyFont="1"/>
    <xf borderId="2" fillId="2" fontId="9" numFmtId="0" xfId="0" applyAlignment="1" applyBorder="1" applyFont="1">
      <alignment horizontal="center" readingOrder="0" vertical="center"/>
    </xf>
    <xf borderId="1" fillId="2" fontId="9" numFmtId="2" xfId="0" applyAlignment="1" applyBorder="1" applyFont="1" applyNumberFormat="1">
      <alignment horizontal="center" readingOrder="0" vertical="center"/>
    </xf>
    <xf borderId="1" fillId="10" fontId="9" numFmtId="2" xfId="0" applyAlignment="1" applyBorder="1" applyFill="1" applyFont="1" applyNumberFormat="1">
      <alignment horizontal="center" readingOrder="0" vertical="center"/>
    </xf>
    <xf borderId="1" fillId="0" fontId="9" numFmtId="2" xfId="0" applyAlignment="1" applyBorder="1" applyFont="1" applyNumberFormat="1">
      <alignment horizontal="center" vertical="center"/>
    </xf>
    <xf borderId="1" fillId="11" fontId="9" numFmtId="2" xfId="0" applyAlignment="1" applyBorder="1" applyFill="1" applyFont="1" applyNumberFormat="1">
      <alignment horizontal="center" readingOrder="0" shrinkToFit="0" vertical="center" wrapText="1"/>
    </xf>
    <xf borderId="1" fillId="9" fontId="10" numFmtId="2" xfId="0" applyAlignment="1" applyBorder="1" applyFont="1" applyNumberFormat="1">
      <alignment horizontal="center" readingOrder="0" shrinkToFit="0" vertical="center" wrapText="0"/>
    </xf>
    <xf borderId="1" fillId="9" fontId="9" numFmtId="2" xfId="0" applyAlignment="1" applyBorder="1" applyFont="1" applyNumberFormat="1">
      <alignment horizontal="center" readingOrder="0" vertical="center"/>
    </xf>
    <xf borderId="0" fillId="0" fontId="11" numFmtId="2" xfId="0" applyFont="1" applyNumberFormat="1"/>
    <xf borderId="3" fillId="12" fontId="12" numFmtId="0" xfId="0" applyBorder="1" applyFill="1" applyFont="1"/>
    <xf borderId="1" fillId="12" fontId="9" numFmtId="2" xfId="0" applyAlignment="1" applyBorder="1" applyFont="1" applyNumberFormat="1">
      <alignment horizontal="center" readingOrder="0" vertical="center"/>
    </xf>
    <xf borderId="3" fillId="2" fontId="12" numFmtId="0" xfId="0" applyBorder="1" applyFont="1"/>
    <xf borderId="4" fillId="12" fontId="12" numFmtId="0" xfId="0" applyBorder="1" applyFont="1"/>
    <xf borderId="1" fillId="13" fontId="9" numFmtId="2" xfId="0" applyAlignment="1" applyBorder="1" applyFill="1" applyFont="1" applyNumberFormat="1">
      <alignment horizontal="center" vertical="center"/>
    </xf>
    <xf borderId="1" fillId="13" fontId="9" numFmtId="2" xfId="0" applyAlignment="1" applyBorder="1" applyFont="1" applyNumberFormat="1">
      <alignment horizontal="center" readingOrder="0" shrinkToFit="0" vertical="center" wrapText="1"/>
    </xf>
    <xf borderId="1" fillId="14" fontId="9" numFmtId="2" xfId="0" applyAlignment="1" applyBorder="1" applyFill="1" applyFont="1" applyNumberFormat="1">
      <alignment horizontal="center" readingOrder="0" shrinkToFit="0" vertical="center" wrapText="1"/>
    </xf>
    <xf borderId="1" fillId="14" fontId="9" numFmtId="2" xfId="0" applyAlignment="1" applyBorder="1" applyFont="1" applyNumberFormat="1">
      <alignment horizontal="center" vertical="center"/>
    </xf>
    <xf borderId="1" fillId="14" fontId="13" numFmtId="2" xfId="0" applyAlignment="1" applyBorder="1" applyFont="1" applyNumberFormat="1">
      <alignment horizontal="center" readingOrder="0" shrinkToFit="0" vertical="center" wrapText="1"/>
    </xf>
    <xf borderId="0" fillId="0" fontId="11" numFmtId="2" xfId="0" applyAlignment="1" applyFont="1" applyNumberFormat="1">
      <alignment horizontal="center"/>
    </xf>
    <xf borderId="0" fillId="8" fontId="9" numFmtId="0" xfId="0" applyAlignment="1" applyFon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wrapText="1"/>
    </xf>
    <xf borderId="2" fillId="9" fontId="3" numFmtId="0" xfId="0" applyAlignment="1" applyBorder="1" applyFont="1">
      <alignment readingOrder="0" shrinkToFit="0" wrapText="1"/>
    </xf>
    <xf borderId="2" fillId="8" fontId="3" numFmtId="0" xfId="0" applyAlignment="1" applyBorder="1" applyFont="1">
      <alignment readingOrder="0" shrinkToFit="0" wrapText="1"/>
    </xf>
    <xf borderId="4" fillId="0" fontId="12" numFmtId="0" xfId="0" applyBorder="1" applyFont="1"/>
    <xf borderId="5" fillId="8" fontId="14" numFmtId="0" xfId="0" applyAlignment="1" applyBorder="1" applyFont="1">
      <alignment horizontal="center" readingOrder="0" shrinkToFit="0" wrapText="0"/>
    </xf>
    <xf borderId="0" fillId="8" fontId="9" numFmtId="0" xfId="0" applyAlignment="1" applyFont="1">
      <alignment horizontal="center" readingOrder="0"/>
    </xf>
    <xf borderId="5" fillId="8" fontId="14" numFmtId="2" xfId="0" applyAlignment="1" applyBorder="1" applyFont="1" applyNumberFormat="1">
      <alignment horizontal="center" readingOrder="0" shrinkToFit="0" wrapText="0"/>
    </xf>
    <xf borderId="5" fillId="9" fontId="14" numFmtId="2" xfId="0" applyAlignment="1" applyBorder="1" applyFont="1" applyNumberFormat="1">
      <alignment horizontal="center" readingOrder="0" shrinkToFit="0" wrapText="0"/>
    </xf>
    <xf borderId="0" fillId="8" fontId="9" numFmtId="2" xfId="0" applyAlignment="1" applyFont="1" applyNumberFormat="1">
      <alignment readingOrder="0"/>
    </xf>
    <xf borderId="0" fillId="8" fontId="11" numFmtId="2" xfId="0" applyFont="1" applyNumberFormat="1"/>
    <xf borderId="0" fillId="8" fontId="9" numFmtId="0" xfId="0" applyAlignment="1" applyFont="1">
      <alignment readingOrder="0"/>
    </xf>
    <xf borderId="0" fillId="15" fontId="9" numFmtId="0" xfId="0" applyAlignment="1" applyFill="1" applyFont="1">
      <alignment readingOrder="0"/>
    </xf>
    <xf borderId="0" fillId="15" fontId="9" numFmtId="2" xfId="0" applyAlignment="1" applyFont="1" applyNumberFormat="1">
      <alignment readingOrder="0"/>
    </xf>
    <xf borderId="6" fillId="11" fontId="6" numFmtId="0" xfId="0" applyAlignment="1" applyBorder="1" applyFont="1">
      <alignment horizontal="center" shrinkToFit="0" vertical="center" wrapText="1"/>
    </xf>
    <xf borderId="6" fillId="11" fontId="6" numFmtId="0" xfId="0" applyAlignment="1" applyBorder="1" applyFont="1">
      <alignment horizontal="center" readingOrder="0" shrinkToFit="0" vertical="center" wrapText="1"/>
    </xf>
    <xf borderId="6" fillId="16" fontId="6" numFmtId="0" xfId="0" applyAlignment="1" applyBorder="1" applyFill="1" applyFont="1">
      <alignment horizontal="center" shrinkToFit="0" vertical="center" wrapText="1"/>
    </xf>
    <xf borderId="6" fillId="16" fontId="15" numFmtId="0" xfId="0" applyAlignment="1" applyBorder="1" applyFont="1">
      <alignment horizontal="center" shrinkToFit="0" vertical="center" wrapText="1"/>
    </xf>
    <xf borderId="6" fillId="17" fontId="16" numFmtId="0" xfId="0" applyAlignment="1" applyBorder="1" applyFill="1" applyFont="1">
      <alignment horizontal="center" readingOrder="0" shrinkToFit="0" vertical="center" wrapText="1"/>
    </xf>
    <xf borderId="6" fillId="17" fontId="17" numFmtId="0" xfId="0" applyAlignment="1" applyBorder="1" applyFont="1">
      <alignment horizontal="center" readingOrder="0" shrinkToFit="0" vertical="center" wrapText="1"/>
    </xf>
    <xf borderId="6" fillId="18" fontId="6" numFmtId="0" xfId="0" applyAlignment="1" applyBorder="1" applyFill="1" applyFont="1">
      <alignment horizontal="center" readingOrder="0" shrinkToFit="0" vertical="center" wrapText="1"/>
    </xf>
    <xf borderId="6" fillId="16" fontId="6" numFmtId="0" xfId="0" applyAlignment="1" applyBorder="1" applyFont="1">
      <alignment horizontal="center" readingOrder="0" shrinkToFit="0" vertical="center" wrapText="1"/>
    </xf>
    <xf borderId="7" fillId="11" fontId="6" numFmtId="0" xfId="0" applyAlignment="1" applyBorder="1" applyFont="1">
      <alignment horizontal="center" shrinkToFit="0" vertical="center" wrapText="1"/>
    </xf>
    <xf borderId="7" fillId="2" fontId="6" numFmtId="0" xfId="0" applyAlignment="1" applyBorder="1" applyFont="1">
      <alignment horizontal="center" shrinkToFit="0" vertical="center" wrapText="1"/>
    </xf>
    <xf borderId="7" fillId="11" fontId="16" numFmtId="0" xfId="0" applyAlignment="1" applyBorder="1" applyFont="1">
      <alignment horizontal="center" shrinkToFit="0" vertical="center" wrapText="1"/>
    </xf>
    <xf borderId="6" fillId="11" fontId="6" numFmtId="164" xfId="0" applyAlignment="1" applyBorder="1" applyFont="1" applyNumberFormat="1">
      <alignment horizontal="center" readingOrder="0" shrinkToFit="0" vertical="center" wrapText="1"/>
    </xf>
    <xf borderId="6" fillId="11" fontId="18" numFmtId="2" xfId="0" applyAlignment="1" applyBorder="1" applyFont="1" applyNumberFormat="1">
      <alignment horizontal="center" shrinkToFit="0" vertical="center" wrapText="1"/>
    </xf>
    <xf borderId="6" fillId="11" fontId="6" numFmtId="1" xfId="0" applyAlignment="1" applyBorder="1" applyFont="1" applyNumberFormat="1">
      <alignment horizontal="center" shrinkToFit="0" vertical="center" wrapText="1"/>
    </xf>
    <xf borderId="6" fillId="11" fontId="18" numFmtId="165" xfId="0" applyAlignment="1" applyBorder="1" applyFont="1" applyNumberFormat="1">
      <alignment horizontal="center" shrinkToFit="0" vertical="center" wrapText="1"/>
    </xf>
    <xf borderId="6" fillId="2" fontId="6" numFmtId="2" xfId="0" applyAlignment="1" applyBorder="1" applyFont="1" applyNumberFormat="1">
      <alignment horizontal="center" shrinkToFit="0" vertical="center" wrapText="1"/>
    </xf>
    <xf borderId="6" fillId="11" fontId="6" numFmtId="2" xfId="0" applyAlignment="1" applyBorder="1" applyFont="1" applyNumberFormat="1">
      <alignment horizontal="center" shrinkToFit="0" vertical="center" wrapText="1"/>
    </xf>
    <xf borderId="6" fillId="11" fontId="18" numFmtId="0" xfId="0" applyAlignment="1" applyBorder="1" applyFont="1">
      <alignment horizontal="center" shrinkToFit="0" vertical="center" wrapText="1"/>
    </xf>
    <xf borderId="6" fillId="11" fontId="18" numFmtId="1" xfId="0" applyAlignment="1" applyBorder="1" applyFont="1" applyNumberFormat="1">
      <alignment horizontal="center" shrinkToFit="0" vertical="center" wrapText="1"/>
    </xf>
    <xf borderId="6" fillId="11" fontId="16" numFmtId="0" xfId="0" applyAlignment="1" applyBorder="1" applyFont="1">
      <alignment horizontal="center" readingOrder="0" shrinkToFit="0" vertical="center" wrapText="1"/>
    </xf>
    <xf borderId="6" fillId="18" fontId="6" numFmtId="1" xfId="0" applyAlignment="1" applyBorder="1" applyFont="1" applyNumberFormat="1">
      <alignment horizontal="center" shrinkToFit="0" vertical="center" wrapText="1"/>
    </xf>
    <xf borderId="6" fillId="11" fontId="19" numFmtId="2" xfId="0" applyAlignment="1" applyBorder="1" applyFont="1" applyNumberFormat="1">
      <alignment horizontal="center" shrinkToFit="0" vertical="center" wrapText="1"/>
    </xf>
    <xf borderId="6" fillId="11" fontId="16" numFmtId="0" xfId="0" applyAlignment="1" applyBorder="1" applyFont="1">
      <alignment horizontal="center" shrinkToFit="0" vertical="center" wrapText="1"/>
    </xf>
    <xf borderId="7" fillId="11" fontId="6" numFmtId="1" xfId="0" applyAlignment="1" applyBorder="1" applyFont="1" applyNumberFormat="1">
      <alignment horizontal="center" shrinkToFit="0" vertical="center" wrapText="1"/>
    </xf>
    <xf borderId="7" fillId="11" fontId="6" numFmtId="14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5.14"/>
    <col customWidth="1" min="3" max="3" width="14.71"/>
    <col customWidth="1" min="4" max="4" width="15.57"/>
    <col customWidth="1" min="5" max="5" width="19.14"/>
    <col customWidth="1" min="6" max="6" width="15.57"/>
    <col customWidth="1" min="7" max="7" width="17.43"/>
    <col customWidth="1" min="8" max="9" width="17.57"/>
    <col customWidth="1" min="10" max="10" width="14.43"/>
    <col customWidth="1" min="11" max="11" width="16.29"/>
    <col customWidth="1" min="12" max="26" width="9.86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4" t="s">
        <v>6</v>
      </c>
      <c r="H2" s="2" t="s">
        <v>7</v>
      </c>
      <c r="I2" s="3" t="s">
        <v>8</v>
      </c>
      <c r="J2" s="3" t="s">
        <v>9</v>
      </c>
      <c r="K2" s="3" t="s">
        <v>10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5" t="s">
        <v>11</v>
      </c>
      <c r="B3" s="6">
        <v>15.0</v>
      </c>
      <c r="C3" s="7">
        <v>3.0</v>
      </c>
      <c r="D3" s="8">
        <v>2.5</v>
      </c>
      <c r="E3" s="8">
        <f t="shared" ref="E3:E20" si="2">D3*D3*0.785*C3*1.02*2.703</f>
        <v>40.58047688</v>
      </c>
      <c r="F3" s="9">
        <v>320.0</v>
      </c>
      <c r="G3" s="9">
        <v>340.0</v>
      </c>
      <c r="H3" s="8">
        <f t="shared" ref="H3:H20" si="3">(F3*E3*1.1)/1000</f>
        <v>14.28432786</v>
      </c>
      <c r="I3" s="10">
        <f t="shared" ref="I3:I20" si="4">(G3*E3*1.1)/1000</f>
        <v>15.17709835</v>
      </c>
      <c r="J3" s="8">
        <f t="shared" ref="J3:K3" si="1">F3*1.1</f>
        <v>352</v>
      </c>
      <c r="K3" s="8">
        <f t="shared" si="1"/>
        <v>374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5" t="s">
        <v>12</v>
      </c>
      <c r="B4" s="6">
        <v>20.0</v>
      </c>
      <c r="C4" s="7">
        <v>7.0</v>
      </c>
      <c r="D4" s="8">
        <v>2.0</v>
      </c>
      <c r="E4" s="8">
        <f t="shared" si="2"/>
        <v>60.6001788</v>
      </c>
      <c r="F4" s="11">
        <v>296.0</v>
      </c>
      <c r="G4" s="11">
        <v>340.0</v>
      </c>
      <c r="H4" s="8">
        <f t="shared" si="3"/>
        <v>19.73141822</v>
      </c>
      <c r="I4" s="10">
        <f t="shared" si="4"/>
        <v>22.66446687</v>
      </c>
      <c r="J4" s="8">
        <f t="shared" ref="J4:K4" si="5">F4*1.1</f>
        <v>325.6</v>
      </c>
      <c r="K4" s="8">
        <f t="shared" si="5"/>
        <v>374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5" t="s">
        <v>13</v>
      </c>
      <c r="B5" s="6">
        <v>34.0</v>
      </c>
      <c r="C5" s="7">
        <v>7.0</v>
      </c>
      <c r="D5" s="8">
        <v>2.5</v>
      </c>
      <c r="E5" s="8">
        <f t="shared" si="2"/>
        <v>94.68777938</v>
      </c>
      <c r="F5" s="11">
        <v>296.0</v>
      </c>
      <c r="G5" s="11">
        <v>340.0</v>
      </c>
      <c r="H5" s="8">
        <f t="shared" si="3"/>
        <v>30.83034096</v>
      </c>
      <c r="I5" s="10">
        <f t="shared" si="4"/>
        <v>35.41322949</v>
      </c>
      <c r="J5" s="8">
        <f t="shared" ref="J5:K5" si="6">F5*1.1</f>
        <v>325.6</v>
      </c>
      <c r="K5" s="8">
        <f t="shared" si="6"/>
        <v>374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5" t="s">
        <v>14</v>
      </c>
      <c r="B6" s="6">
        <v>55.0</v>
      </c>
      <c r="C6" s="7">
        <v>7.0</v>
      </c>
      <c r="D6" s="8">
        <v>3.15</v>
      </c>
      <c r="E6" s="8">
        <f t="shared" si="2"/>
        <v>150.3263185</v>
      </c>
      <c r="F6" s="11">
        <v>296.0</v>
      </c>
      <c r="G6" s="11">
        <v>340.0</v>
      </c>
      <c r="H6" s="8">
        <f t="shared" si="3"/>
        <v>48.94624932</v>
      </c>
      <c r="I6" s="10">
        <f t="shared" si="4"/>
        <v>56.22204313</v>
      </c>
      <c r="J6" s="8">
        <f t="shared" ref="J6:K6" si="7">F6*1.1</f>
        <v>325.6</v>
      </c>
      <c r="K6" s="8">
        <f t="shared" si="7"/>
        <v>374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5" t="s">
        <v>15</v>
      </c>
      <c r="B7" s="6">
        <v>80.0</v>
      </c>
      <c r="C7" s="7">
        <v>7.0</v>
      </c>
      <c r="D7" s="8">
        <v>3.81</v>
      </c>
      <c r="E7" s="8">
        <f t="shared" si="2"/>
        <v>219.9195639</v>
      </c>
      <c r="F7" s="11">
        <v>296.0</v>
      </c>
      <c r="G7" s="11">
        <v>340.0</v>
      </c>
      <c r="H7" s="8">
        <f t="shared" si="3"/>
        <v>71.60581</v>
      </c>
      <c r="I7" s="10">
        <f t="shared" si="4"/>
        <v>82.24991689</v>
      </c>
      <c r="J7" s="8">
        <f t="shared" ref="J7:K7" si="8">F7*1.1</f>
        <v>325.6</v>
      </c>
      <c r="K7" s="8">
        <f t="shared" si="8"/>
        <v>374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5" t="s">
        <v>16</v>
      </c>
      <c r="B8" s="6">
        <v>100.0</v>
      </c>
      <c r="C8" s="7">
        <v>7.0</v>
      </c>
      <c r="D8" s="8">
        <v>4.26</v>
      </c>
      <c r="E8" s="8">
        <f t="shared" si="2"/>
        <v>274.9369512</v>
      </c>
      <c r="F8" s="11">
        <v>296.0</v>
      </c>
      <c r="G8" s="11">
        <v>340.0</v>
      </c>
      <c r="H8" s="8">
        <f t="shared" si="3"/>
        <v>89.51947131</v>
      </c>
      <c r="I8" s="10">
        <f t="shared" si="4"/>
        <v>102.8264197</v>
      </c>
      <c r="J8" s="8">
        <f t="shared" ref="J8:K8" si="9">F8*1.1</f>
        <v>325.6</v>
      </c>
      <c r="K8" s="8">
        <f t="shared" si="9"/>
        <v>374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5" t="s">
        <v>17</v>
      </c>
      <c r="B9" s="6">
        <v>125.0</v>
      </c>
      <c r="C9" s="7">
        <v>19.0</v>
      </c>
      <c r="D9" s="8">
        <v>2.89</v>
      </c>
      <c r="E9" s="8">
        <f t="shared" si="2"/>
        <v>343.4512969</v>
      </c>
      <c r="F9" s="11">
        <v>296.0</v>
      </c>
      <c r="G9" s="11">
        <v>340.0</v>
      </c>
      <c r="H9" s="8">
        <f t="shared" si="3"/>
        <v>111.8277423</v>
      </c>
      <c r="I9" s="10">
        <f t="shared" si="4"/>
        <v>128.450785</v>
      </c>
      <c r="J9" s="8">
        <f t="shared" ref="J9:K9" si="10">F9*1.1</f>
        <v>325.6</v>
      </c>
      <c r="K9" s="8">
        <f t="shared" si="10"/>
        <v>374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5" t="s">
        <v>18</v>
      </c>
      <c r="B10" s="6">
        <v>150.0</v>
      </c>
      <c r="C10" s="7">
        <v>19.0</v>
      </c>
      <c r="D10" s="8">
        <v>3.15</v>
      </c>
      <c r="E10" s="8">
        <f t="shared" si="2"/>
        <v>408.0285789</v>
      </c>
      <c r="F10" s="11">
        <v>296.0</v>
      </c>
      <c r="G10" s="11">
        <v>340.0</v>
      </c>
      <c r="H10" s="8">
        <f t="shared" si="3"/>
        <v>132.8541053</v>
      </c>
      <c r="I10" s="10">
        <f t="shared" si="4"/>
        <v>152.6026885</v>
      </c>
      <c r="J10" s="8">
        <f t="shared" ref="J10:K10" si="11">F10*1.1</f>
        <v>325.6</v>
      </c>
      <c r="K10" s="8">
        <f t="shared" si="11"/>
        <v>374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5" t="s">
        <v>19</v>
      </c>
      <c r="B11" s="6">
        <v>175.0</v>
      </c>
      <c r="C11" s="7">
        <v>19.0</v>
      </c>
      <c r="D11" s="8">
        <v>3.4</v>
      </c>
      <c r="E11" s="8">
        <f t="shared" si="2"/>
        <v>475.3651168</v>
      </c>
      <c r="F11" s="11">
        <v>296.0</v>
      </c>
      <c r="G11" s="11">
        <v>340.0</v>
      </c>
      <c r="H11" s="8">
        <f t="shared" si="3"/>
        <v>154.778882</v>
      </c>
      <c r="I11" s="10">
        <f t="shared" si="4"/>
        <v>177.7865537</v>
      </c>
      <c r="J11" s="8">
        <f t="shared" ref="J11:K11" si="12">F11*1.1</f>
        <v>325.6</v>
      </c>
      <c r="K11" s="8">
        <f t="shared" si="12"/>
        <v>374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5" t="s">
        <v>20</v>
      </c>
      <c r="B12" s="6">
        <v>200.0</v>
      </c>
      <c r="C12" s="7">
        <v>19.0</v>
      </c>
      <c r="D12" s="8">
        <v>3.66</v>
      </c>
      <c r="E12" s="8">
        <f t="shared" si="2"/>
        <v>550.8478338</v>
      </c>
      <c r="F12" s="11">
        <v>296.0</v>
      </c>
      <c r="G12" s="11">
        <v>340.0</v>
      </c>
      <c r="H12" s="8">
        <f t="shared" si="3"/>
        <v>179.3560547</v>
      </c>
      <c r="I12" s="10">
        <f t="shared" si="4"/>
        <v>206.0170899</v>
      </c>
      <c r="J12" s="8">
        <f t="shared" ref="J12:K12" si="13">F12*1.1</f>
        <v>325.6</v>
      </c>
      <c r="K12" s="8">
        <f t="shared" si="13"/>
        <v>374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5" t="s">
        <v>21</v>
      </c>
      <c r="B13" s="6">
        <v>232.0</v>
      </c>
      <c r="C13" s="7">
        <v>19.0</v>
      </c>
      <c r="D13" s="8">
        <v>3.94</v>
      </c>
      <c r="E13" s="8">
        <f t="shared" si="2"/>
        <v>638.354492</v>
      </c>
      <c r="F13" s="11">
        <v>296.0</v>
      </c>
      <c r="G13" s="11">
        <v>340.0</v>
      </c>
      <c r="H13" s="8">
        <f t="shared" si="3"/>
        <v>207.8482226</v>
      </c>
      <c r="I13" s="10">
        <f t="shared" si="4"/>
        <v>238.74458</v>
      </c>
      <c r="J13" s="8">
        <f t="shared" ref="J13:K13" si="14">F13*1.1</f>
        <v>325.6</v>
      </c>
      <c r="K13" s="8">
        <f t="shared" si="14"/>
        <v>374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5" t="s">
        <v>22</v>
      </c>
      <c r="B14" s="6">
        <v>290.0</v>
      </c>
      <c r="C14" s="7">
        <v>37.0</v>
      </c>
      <c r="D14" s="8">
        <v>3.15</v>
      </c>
      <c r="E14" s="8">
        <f t="shared" si="2"/>
        <v>794.5819694</v>
      </c>
      <c r="F14" s="11">
        <v>296.0</v>
      </c>
      <c r="G14" s="11">
        <v>340.0</v>
      </c>
      <c r="H14" s="8">
        <f t="shared" si="3"/>
        <v>258.7158892</v>
      </c>
      <c r="I14" s="10">
        <f t="shared" si="4"/>
        <v>297.1736566</v>
      </c>
      <c r="J14" s="8">
        <f t="shared" ref="J14:K14" si="15">F14*1.1</f>
        <v>325.6</v>
      </c>
      <c r="K14" s="8">
        <f t="shared" si="15"/>
        <v>374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5" t="s">
        <v>22</v>
      </c>
      <c r="B15" s="6">
        <v>345.0</v>
      </c>
      <c r="C15" s="7">
        <v>37.0</v>
      </c>
      <c r="D15" s="8">
        <v>3.45</v>
      </c>
      <c r="E15" s="8">
        <f t="shared" si="2"/>
        <v>953.1380086</v>
      </c>
      <c r="F15" s="11">
        <v>296.0</v>
      </c>
      <c r="G15" s="11">
        <v>340.0</v>
      </c>
      <c r="H15" s="8">
        <f t="shared" si="3"/>
        <v>310.3417356</v>
      </c>
      <c r="I15" s="10">
        <f t="shared" si="4"/>
        <v>356.4736152</v>
      </c>
      <c r="J15" s="8">
        <f t="shared" ref="J15:K15" si="16">F15*1.1</f>
        <v>325.6</v>
      </c>
      <c r="K15" s="8">
        <f t="shared" si="16"/>
        <v>374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5" t="s">
        <v>23</v>
      </c>
      <c r="B16" s="6">
        <v>400.0</v>
      </c>
      <c r="C16" s="7">
        <v>37.0</v>
      </c>
      <c r="D16" s="8">
        <v>3.71</v>
      </c>
      <c r="E16" s="8">
        <f t="shared" si="2"/>
        <v>1102.212717</v>
      </c>
      <c r="F16" s="11">
        <v>296.0</v>
      </c>
      <c r="G16" s="11">
        <v>340.0</v>
      </c>
      <c r="H16" s="8">
        <f t="shared" si="3"/>
        <v>358.8804607</v>
      </c>
      <c r="I16" s="10">
        <f t="shared" si="4"/>
        <v>412.2275562</v>
      </c>
      <c r="J16" s="8">
        <f t="shared" ref="J16:K16" si="17">F16*1.1</f>
        <v>325.6</v>
      </c>
      <c r="K16" s="8">
        <f t="shared" si="17"/>
        <v>374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5" t="s">
        <v>24</v>
      </c>
      <c r="B17" s="6">
        <v>465.0</v>
      </c>
      <c r="C17" s="7">
        <v>37.0</v>
      </c>
      <c r="D17" s="8">
        <v>4.0</v>
      </c>
      <c r="E17" s="8">
        <f t="shared" si="2"/>
        <v>1281.260923</v>
      </c>
      <c r="F17" s="11">
        <v>296.0</v>
      </c>
      <c r="G17" s="11">
        <v>340.0</v>
      </c>
      <c r="H17" s="8">
        <f t="shared" si="3"/>
        <v>417.1785566</v>
      </c>
      <c r="I17" s="10">
        <f t="shared" si="4"/>
        <v>479.1915853</v>
      </c>
      <c r="J17" s="8">
        <f t="shared" ref="J17:K17" si="18">F17*1.1</f>
        <v>325.6</v>
      </c>
      <c r="K17" s="8">
        <f t="shared" si="18"/>
        <v>374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5" t="s">
        <v>25</v>
      </c>
      <c r="B18" s="6">
        <v>525.0</v>
      </c>
      <c r="C18" s="7">
        <v>61.0</v>
      </c>
      <c r="D18" s="8">
        <v>3.31</v>
      </c>
      <c r="E18" s="8">
        <f t="shared" si="2"/>
        <v>1446.444241</v>
      </c>
      <c r="F18" s="11">
        <v>296.0</v>
      </c>
      <c r="G18" s="11">
        <v>340.0</v>
      </c>
      <c r="H18" s="8">
        <f t="shared" si="3"/>
        <v>470.962245</v>
      </c>
      <c r="I18" s="10">
        <f t="shared" si="4"/>
        <v>540.9701462</v>
      </c>
      <c r="J18" s="8">
        <f t="shared" ref="J18:K18" si="19">F18*1.1</f>
        <v>325.6</v>
      </c>
      <c r="K18" s="8">
        <f t="shared" si="19"/>
        <v>374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5" t="s">
        <v>26</v>
      </c>
      <c r="B19" s="6">
        <v>570.0</v>
      </c>
      <c r="C19" s="7">
        <v>61.0</v>
      </c>
      <c r="D19" s="8">
        <v>3.45</v>
      </c>
      <c r="E19" s="8">
        <f t="shared" si="2"/>
        <v>1571.38969</v>
      </c>
      <c r="F19" s="11">
        <v>296.0</v>
      </c>
      <c r="G19" s="11">
        <v>340.0</v>
      </c>
      <c r="H19" s="8">
        <f t="shared" si="3"/>
        <v>511.644483</v>
      </c>
      <c r="I19" s="10">
        <f t="shared" si="4"/>
        <v>587.699744</v>
      </c>
      <c r="J19" s="8">
        <f t="shared" ref="J19:K19" si="20">F19*1.1</f>
        <v>325.6</v>
      </c>
      <c r="K19" s="8">
        <f t="shared" si="20"/>
        <v>374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5" t="s">
        <v>27</v>
      </c>
      <c r="B20" s="6">
        <f>D20*D20*0.785*C20*1.02</f>
        <v>781.4832</v>
      </c>
      <c r="C20" s="12">
        <v>61.0</v>
      </c>
      <c r="D20" s="12">
        <v>4.0</v>
      </c>
      <c r="E20" s="8">
        <f t="shared" si="2"/>
        <v>2112.34909</v>
      </c>
      <c r="F20" s="11">
        <v>296.0</v>
      </c>
      <c r="G20" s="11">
        <v>340.0</v>
      </c>
      <c r="H20" s="8">
        <f t="shared" si="3"/>
        <v>687.7808636</v>
      </c>
      <c r="I20" s="10">
        <f t="shared" si="4"/>
        <v>790.0185595</v>
      </c>
      <c r="J20" s="8">
        <f t="shared" ref="J20:K20" si="21">F20*1.1</f>
        <v>325.6</v>
      </c>
      <c r="K20" s="8">
        <f t="shared" si="21"/>
        <v>374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43"/>
    <col customWidth="1" min="2" max="19" width="14.86"/>
  </cols>
  <sheetData>
    <row r="1">
      <c r="A1" s="13" t="s">
        <v>28</v>
      </c>
      <c r="B1" s="14" t="s">
        <v>29</v>
      </c>
      <c r="C1" s="14" t="s">
        <v>30</v>
      </c>
      <c r="D1" s="14" t="s">
        <v>31</v>
      </c>
      <c r="E1" s="14" t="s">
        <v>32</v>
      </c>
      <c r="F1" s="14" t="s">
        <v>33</v>
      </c>
      <c r="G1" s="14" t="s">
        <v>34</v>
      </c>
      <c r="H1" s="15" t="s">
        <v>35</v>
      </c>
      <c r="I1" s="16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8" t="s">
        <v>41</v>
      </c>
      <c r="O1" s="18" t="s">
        <v>42</v>
      </c>
      <c r="P1" s="19" t="s">
        <v>43</v>
      </c>
      <c r="Q1" s="19" t="s">
        <v>44</v>
      </c>
      <c r="R1" s="16" t="s">
        <v>45</v>
      </c>
      <c r="S1" s="16" t="s">
        <v>46</v>
      </c>
      <c r="T1" s="20" t="s">
        <v>47</v>
      </c>
      <c r="U1" s="21"/>
      <c r="V1" s="21"/>
      <c r="W1" s="21"/>
      <c r="X1" s="21"/>
      <c r="Y1" s="21"/>
      <c r="Z1" s="21"/>
      <c r="AA1" s="21"/>
      <c r="AB1" s="21"/>
    </row>
    <row r="2">
      <c r="A2" s="22" t="s">
        <v>48</v>
      </c>
      <c r="B2" s="23" t="s">
        <v>49</v>
      </c>
      <c r="C2" s="23">
        <v>1.7</v>
      </c>
      <c r="D2" s="23">
        <v>0.0</v>
      </c>
      <c r="E2" s="23">
        <v>1.7</v>
      </c>
      <c r="F2" s="23">
        <v>1.2</v>
      </c>
      <c r="G2" s="23">
        <v>0.0</v>
      </c>
      <c r="H2" s="24">
        <v>0.0</v>
      </c>
      <c r="I2" s="25">
        <f t="shared" ref="I2:I41" si="1">(C2*3)+(F2*2)</f>
        <v>7.5</v>
      </c>
      <c r="J2" s="26">
        <f>(C2*C2*0.785*7*1.02*2.703*3)+(D2*D2*0.785*7*1.02*2.703)</f>
        <v>131.3508875</v>
      </c>
      <c r="K2" s="26">
        <f>(E2*E2*0.785*7*1.02*2.703)</f>
        <v>43.78362918</v>
      </c>
      <c r="L2" s="26">
        <f t="shared" ref="L2:L13" si="2">(((C2*3)+F2)*F2*0.96*3.14*3)+(((D2*3)+G2)*G2*0.96*3.14)+(((E2*3)+H2)*H2*0.96*3.14)</f>
        <v>68.366592</v>
      </c>
      <c r="M2" s="26">
        <f t="shared" ref="M2:M69" si="3">J2+L2</f>
        <v>199.7174795</v>
      </c>
      <c r="N2" s="27">
        <v>340.0</v>
      </c>
      <c r="O2" s="27">
        <v>322.0</v>
      </c>
      <c r="P2" s="28">
        <v>116.0</v>
      </c>
      <c r="Q2" s="28">
        <v>70.0</v>
      </c>
      <c r="R2" s="25">
        <f>(J2*O2)+(K2*N2)+(L2*P2)</f>
        <v>65111.94438</v>
      </c>
      <c r="S2" s="25">
        <f>R2*1.15</f>
        <v>74878.73604</v>
      </c>
      <c r="T2" s="29">
        <f t="shared" ref="T2:T69" si="4">S2/1000</f>
        <v>74.87873604</v>
      </c>
    </row>
    <row r="3">
      <c r="A3" s="30"/>
      <c r="B3" s="31" t="s">
        <v>50</v>
      </c>
      <c r="C3" s="31">
        <v>1.5</v>
      </c>
      <c r="D3" s="31">
        <v>0.0</v>
      </c>
      <c r="E3" s="31">
        <v>1.5</v>
      </c>
      <c r="F3" s="31">
        <v>1.3</v>
      </c>
      <c r="G3" s="31">
        <v>0.0</v>
      </c>
      <c r="H3" s="24">
        <v>0.0</v>
      </c>
      <c r="I3" s="25">
        <f t="shared" si="1"/>
        <v>7.1</v>
      </c>
      <c r="J3" s="26">
        <f t="shared" ref="J3:J5" si="5">(C3*C3*0.785*7*1.02*2.703*3)+(D3*D3*0.785*7*1.02*2.703)+(E3*E3*0.785*7*1.02*2.703)</f>
        <v>136.3504023</v>
      </c>
      <c r="K3" s="26" t="s">
        <v>51</v>
      </c>
      <c r="L3" s="26">
        <f t="shared" si="2"/>
        <v>68.185728</v>
      </c>
      <c r="M3" s="26">
        <f t="shared" si="3"/>
        <v>204.5361303</v>
      </c>
      <c r="N3" s="27">
        <v>340.0</v>
      </c>
      <c r="O3" s="27">
        <v>322.0</v>
      </c>
      <c r="P3" s="28">
        <v>116.0</v>
      </c>
      <c r="Q3" s="28">
        <v>70.0</v>
      </c>
      <c r="R3" s="25">
        <f t="shared" ref="R3:R5" si="6">(J3*O3)+(L3*Q3)</f>
        <v>48677.8305</v>
      </c>
      <c r="S3" s="25">
        <f t="shared" ref="S3:S5" si="7">R3*1.2</f>
        <v>58413.3966</v>
      </c>
      <c r="T3" s="29">
        <f t="shared" si="4"/>
        <v>58.4133966</v>
      </c>
    </row>
    <row r="4">
      <c r="A4" s="32"/>
      <c r="B4" s="23" t="s">
        <v>52</v>
      </c>
      <c r="C4" s="23">
        <v>1.4</v>
      </c>
      <c r="D4" s="23">
        <v>0.0</v>
      </c>
      <c r="E4" s="23">
        <v>1.4</v>
      </c>
      <c r="F4" s="23">
        <v>1.3</v>
      </c>
      <c r="G4" s="23">
        <v>0.0</v>
      </c>
      <c r="H4" s="24">
        <v>0.0</v>
      </c>
      <c r="I4" s="25">
        <f t="shared" si="1"/>
        <v>6.8</v>
      </c>
      <c r="J4" s="26">
        <f t="shared" si="5"/>
        <v>118.7763504</v>
      </c>
      <c r="K4" s="26" t="s">
        <v>51</v>
      </c>
      <c r="L4" s="26">
        <f t="shared" si="2"/>
        <v>64.65888</v>
      </c>
      <c r="M4" s="26">
        <f t="shared" si="3"/>
        <v>183.4352304</v>
      </c>
      <c r="N4" s="27">
        <v>340.0</v>
      </c>
      <c r="O4" s="27">
        <v>322.0</v>
      </c>
      <c r="P4" s="28">
        <v>116.0</v>
      </c>
      <c r="Q4" s="28">
        <v>70.0</v>
      </c>
      <c r="R4" s="25">
        <f t="shared" si="6"/>
        <v>42772.10644</v>
      </c>
      <c r="S4" s="25">
        <f t="shared" si="7"/>
        <v>51326.52773</v>
      </c>
      <c r="T4" s="29">
        <f t="shared" si="4"/>
        <v>51.32652773</v>
      </c>
    </row>
    <row r="5">
      <c r="A5" s="33"/>
      <c r="B5" s="31" t="s">
        <v>53</v>
      </c>
      <c r="C5" s="31">
        <v>1.32</v>
      </c>
      <c r="D5" s="31">
        <v>0.0</v>
      </c>
      <c r="E5" s="31">
        <v>1.32</v>
      </c>
      <c r="F5" s="31">
        <v>1.4</v>
      </c>
      <c r="G5" s="31">
        <v>0.0</v>
      </c>
      <c r="H5" s="24">
        <v>0.0</v>
      </c>
      <c r="I5" s="25">
        <f t="shared" si="1"/>
        <v>6.76</v>
      </c>
      <c r="J5" s="26">
        <f t="shared" si="5"/>
        <v>105.5897515</v>
      </c>
      <c r="K5" s="26" t="s">
        <v>51</v>
      </c>
      <c r="L5" s="26">
        <f t="shared" si="2"/>
        <v>67.8601728</v>
      </c>
      <c r="M5" s="26">
        <f t="shared" si="3"/>
        <v>173.4499243</v>
      </c>
      <c r="N5" s="27">
        <v>340.0</v>
      </c>
      <c r="O5" s="27">
        <v>322.0</v>
      </c>
      <c r="P5" s="28">
        <v>116.0</v>
      </c>
      <c r="Q5" s="28">
        <v>70.0</v>
      </c>
      <c r="R5" s="25">
        <f t="shared" si="6"/>
        <v>38750.11209</v>
      </c>
      <c r="S5" s="25">
        <f t="shared" si="7"/>
        <v>46500.13451</v>
      </c>
      <c r="T5" s="29">
        <f t="shared" si="4"/>
        <v>46.50013451</v>
      </c>
    </row>
    <row r="6">
      <c r="A6" s="22" t="s">
        <v>54</v>
      </c>
      <c r="B6" s="23" t="s">
        <v>49</v>
      </c>
      <c r="C6" s="23">
        <v>1.7</v>
      </c>
      <c r="D6" s="23">
        <v>0.0</v>
      </c>
      <c r="E6" s="23">
        <v>2.12</v>
      </c>
      <c r="F6" s="23">
        <v>1.2</v>
      </c>
      <c r="G6" s="23">
        <v>0.0</v>
      </c>
      <c r="H6" s="24">
        <v>0.0</v>
      </c>
      <c r="I6" s="25">
        <f t="shared" si="1"/>
        <v>7.5</v>
      </c>
      <c r="J6" s="26">
        <f>(C6*C6*0.785*7*1.02*2.703*3)+(D6*D6*0.785*7*1.02*2.703)</f>
        <v>131.3508875</v>
      </c>
      <c r="K6" s="26">
        <f>(E6*E6*0.785*7*1.02*2.703)</f>
        <v>68.0903609</v>
      </c>
      <c r="L6" s="26">
        <f t="shared" si="2"/>
        <v>68.366592</v>
      </c>
      <c r="M6" s="26">
        <f t="shared" si="3"/>
        <v>199.7174795</v>
      </c>
      <c r="N6" s="27">
        <v>340.0</v>
      </c>
      <c r="O6" s="27">
        <v>322.0</v>
      </c>
      <c r="P6" s="28">
        <v>116.0</v>
      </c>
      <c r="Q6" s="28">
        <v>70.0</v>
      </c>
      <c r="R6" s="25">
        <f>(J6*O6)+(K6*N6)+(L6*P6)</f>
        <v>73376.23317</v>
      </c>
      <c r="S6" s="25">
        <f>R6*1.15</f>
        <v>84382.66814</v>
      </c>
      <c r="T6" s="29">
        <f t="shared" si="4"/>
        <v>84.38266814</v>
      </c>
    </row>
    <row r="7">
      <c r="A7" s="30"/>
      <c r="B7" s="31" t="s">
        <v>50</v>
      </c>
      <c r="C7" s="31">
        <v>1.5</v>
      </c>
      <c r="D7" s="31">
        <v>0.0</v>
      </c>
      <c r="E7" s="31">
        <v>1.7</v>
      </c>
      <c r="F7" s="31">
        <v>1.3</v>
      </c>
      <c r="G7" s="31">
        <v>0.0</v>
      </c>
      <c r="H7" s="24">
        <v>0.0</v>
      </c>
      <c r="I7" s="25">
        <f t="shared" si="1"/>
        <v>7.1</v>
      </c>
      <c r="J7" s="26">
        <f t="shared" ref="J7:J9" si="8">(C7*C7*0.785*7*1.02*2.703*3)+(D7*D7*0.785*7*1.02*2.703)+(E7*E7*0.785*7*1.02*2.703)</f>
        <v>146.0464309</v>
      </c>
      <c r="K7" s="26" t="s">
        <v>51</v>
      </c>
      <c r="L7" s="26">
        <f t="shared" si="2"/>
        <v>68.185728</v>
      </c>
      <c r="M7" s="26">
        <f t="shared" si="3"/>
        <v>214.2321589</v>
      </c>
      <c r="N7" s="27">
        <v>340.0</v>
      </c>
      <c r="O7" s="27">
        <v>322.0</v>
      </c>
      <c r="P7" s="28">
        <v>116.0</v>
      </c>
      <c r="Q7" s="28">
        <v>70.0</v>
      </c>
      <c r="R7" s="25">
        <f t="shared" ref="R7:R9" si="9">(J7*O7)+(L7*Q7)</f>
        <v>51799.95171</v>
      </c>
      <c r="S7" s="25">
        <f t="shared" ref="S7:S9" si="10">R7*1.2</f>
        <v>62159.94205</v>
      </c>
      <c r="T7" s="29">
        <f t="shared" si="4"/>
        <v>62.15994205</v>
      </c>
    </row>
    <row r="8">
      <c r="A8" s="32"/>
      <c r="B8" s="23" t="s">
        <v>52</v>
      </c>
      <c r="C8" s="23">
        <v>1.4</v>
      </c>
      <c r="D8" s="23">
        <v>0.0</v>
      </c>
      <c r="E8" s="23">
        <v>1.6</v>
      </c>
      <c r="F8" s="23">
        <v>1.3</v>
      </c>
      <c r="G8" s="23">
        <v>0.0</v>
      </c>
      <c r="H8" s="24">
        <v>0.0</v>
      </c>
      <c r="I8" s="25">
        <f t="shared" si="1"/>
        <v>6.8</v>
      </c>
      <c r="J8" s="26">
        <f t="shared" si="8"/>
        <v>127.8663773</v>
      </c>
      <c r="K8" s="26" t="s">
        <v>51</v>
      </c>
      <c r="L8" s="26">
        <f t="shared" si="2"/>
        <v>64.65888</v>
      </c>
      <c r="M8" s="26">
        <f t="shared" si="3"/>
        <v>192.5252573</v>
      </c>
      <c r="N8" s="27">
        <v>340.0</v>
      </c>
      <c r="O8" s="27">
        <v>322.0</v>
      </c>
      <c r="P8" s="28">
        <v>116.0</v>
      </c>
      <c r="Q8" s="28">
        <v>70.0</v>
      </c>
      <c r="R8" s="25">
        <f t="shared" si="9"/>
        <v>45699.09508</v>
      </c>
      <c r="S8" s="25">
        <f t="shared" si="10"/>
        <v>54838.9141</v>
      </c>
      <c r="T8" s="29">
        <f t="shared" si="4"/>
        <v>54.8389141</v>
      </c>
    </row>
    <row r="9">
      <c r="A9" s="33"/>
      <c r="B9" s="31" t="s">
        <v>53</v>
      </c>
      <c r="C9" s="31">
        <v>1.32</v>
      </c>
      <c r="D9" s="31">
        <v>0.0</v>
      </c>
      <c r="E9" s="31">
        <v>1.6</v>
      </c>
      <c r="F9" s="31">
        <v>1.4</v>
      </c>
      <c r="G9" s="31">
        <v>0.0</v>
      </c>
      <c r="H9" s="24">
        <v>0.0</v>
      </c>
      <c r="I9" s="25">
        <f t="shared" si="1"/>
        <v>6.76</v>
      </c>
      <c r="J9" s="26">
        <f t="shared" si="8"/>
        <v>117.9764281</v>
      </c>
      <c r="K9" s="26" t="s">
        <v>51</v>
      </c>
      <c r="L9" s="26">
        <f t="shared" si="2"/>
        <v>67.8601728</v>
      </c>
      <c r="M9" s="26">
        <f t="shared" si="3"/>
        <v>185.8366009</v>
      </c>
      <c r="N9" s="27">
        <v>340.0</v>
      </c>
      <c r="O9" s="27">
        <v>322.0</v>
      </c>
      <c r="P9" s="28">
        <v>116.0</v>
      </c>
      <c r="Q9" s="28">
        <v>70.0</v>
      </c>
      <c r="R9" s="25">
        <f t="shared" si="9"/>
        <v>42738.62194</v>
      </c>
      <c r="S9" s="25">
        <f t="shared" si="10"/>
        <v>51286.34633</v>
      </c>
      <c r="T9" s="29">
        <f t="shared" si="4"/>
        <v>51.28634633</v>
      </c>
    </row>
    <row r="10">
      <c r="A10" s="22" t="s">
        <v>55</v>
      </c>
      <c r="B10" s="23" t="s">
        <v>49</v>
      </c>
      <c r="C10" s="23">
        <v>2.12</v>
      </c>
      <c r="D10" s="23">
        <v>0.0</v>
      </c>
      <c r="E10" s="23">
        <v>1.7</v>
      </c>
      <c r="F10" s="23">
        <v>1.2</v>
      </c>
      <c r="G10" s="23">
        <v>0.0</v>
      </c>
      <c r="H10" s="24">
        <v>0.0</v>
      </c>
      <c r="I10" s="25">
        <f t="shared" si="1"/>
        <v>8.76</v>
      </c>
      <c r="J10" s="26">
        <f>(C10*C10*0.785*7*1.02*2.703*3)+(D10*D10*0.785*7*1.02*2.703)</f>
        <v>204.2710827</v>
      </c>
      <c r="K10" s="26">
        <f>(E10*E10*0.785*7*1.02*2.703)</f>
        <v>43.78362918</v>
      </c>
      <c r="L10" s="26">
        <f t="shared" si="2"/>
        <v>82.0399104</v>
      </c>
      <c r="M10" s="26">
        <f t="shared" si="3"/>
        <v>286.3109931</v>
      </c>
      <c r="N10" s="27">
        <v>340.0</v>
      </c>
      <c r="O10" s="27">
        <v>322.0</v>
      </c>
      <c r="P10" s="28">
        <v>116.0</v>
      </c>
      <c r="Q10" s="28">
        <v>70.0</v>
      </c>
      <c r="R10" s="25">
        <f>(J10*O10)+(K10*N10)+(L10*P10)</f>
        <v>90178.35216</v>
      </c>
      <c r="S10" s="25">
        <f>R10*1.15</f>
        <v>103705.105</v>
      </c>
      <c r="T10" s="29">
        <f t="shared" si="4"/>
        <v>103.705105</v>
      </c>
    </row>
    <row r="11">
      <c r="A11" s="30"/>
      <c r="B11" s="31" t="s">
        <v>50</v>
      </c>
      <c r="C11" s="31">
        <v>1.7</v>
      </c>
      <c r="D11" s="31">
        <v>0.0</v>
      </c>
      <c r="E11" s="31">
        <v>1.5</v>
      </c>
      <c r="F11" s="31">
        <v>1.3</v>
      </c>
      <c r="G11" s="31">
        <v>0.0</v>
      </c>
      <c r="H11" s="24">
        <v>0.0</v>
      </c>
      <c r="I11" s="25">
        <f t="shared" si="1"/>
        <v>7.7</v>
      </c>
      <c r="J11" s="26">
        <f t="shared" ref="J11:J13" si="11">(C11*C11*0.785*7*1.02*2.703*3)+(D11*D11*0.785*7*1.02*2.703)+(E11*E11*0.785*7*1.02*2.703)</f>
        <v>165.4384881</v>
      </c>
      <c r="K11" s="26" t="s">
        <v>51</v>
      </c>
      <c r="L11" s="26">
        <f t="shared" si="2"/>
        <v>75.239424</v>
      </c>
      <c r="M11" s="26">
        <f t="shared" si="3"/>
        <v>240.6779121</v>
      </c>
      <c r="N11" s="27">
        <v>340.0</v>
      </c>
      <c r="O11" s="27">
        <v>322.0</v>
      </c>
      <c r="P11" s="28">
        <v>116.0</v>
      </c>
      <c r="Q11" s="28">
        <v>70.0</v>
      </c>
      <c r="R11" s="25">
        <f t="shared" ref="R11:R13" si="12">(J11*O11)+(L11*Q11)</f>
        <v>58537.95286</v>
      </c>
      <c r="S11" s="25">
        <f t="shared" ref="S11:S13" si="13">R11*1.2</f>
        <v>70245.54343</v>
      </c>
      <c r="T11" s="29">
        <f t="shared" si="4"/>
        <v>70.24554343</v>
      </c>
    </row>
    <row r="12">
      <c r="A12" s="32"/>
      <c r="B12" s="23" t="s">
        <v>52</v>
      </c>
      <c r="C12" s="23">
        <v>1.6</v>
      </c>
      <c r="D12" s="23">
        <v>0.0</v>
      </c>
      <c r="E12" s="23">
        <v>1.4</v>
      </c>
      <c r="F12" s="23">
        <v>1.3</v>
      </c>
      <c r="G12" s="23">
        <v>0.0</v>
      </c>
      <c r="H12" s="24">
        <v>0.0</v>
      </c>
      <c r="I12" s="25">
        <f t="shared" si="1"/>
        <v>7.4</v>
      </c>
      <c r="J12" s="26">
        <f t="shared" si="11"/>
        <v>146.0464309</v>
      </c>
      <c r="K12" s="26" t="s">
        <v>51</v>
      </c>
      <c r="L12" s="26">
        <f t="shared" si="2"/>
        <v>71.712576</v>
      </c>
      <c r="M12" s="26">
        <f t="shared" si="3"/>
        <v>217.7590069</v>
      </c>
      <c r="N12" s="27">
        <v>340.0</v>
      </c>
      <c r="O12" s="27">
        <v>322.0</v>
      </c>
      <c r="P12" s="28">
        <v>116.0</v>
      </c>
      <c r="Q12" s="28">
        <v>70.0</v>
      </c>
      <c r="R12" s="25">
        <f t="shared" si="12"/>
        <v>52046.83107</v>
      </c>
      <c r="S12" s="25">
        <f t="shared" si="13"/>
        <v>62456.19729</v>
      </c>
      <c r="T12" s="29">
        <f t="shared" si="4"/>
        <v>62.45619729</v>
      </c>
    </row>
    <row r="13">
      <c r="A13" s="33"/>
      <c r="B13" s="31" t="s">
        <v>53</v>
      </c>
      <c r="C13" s="31">
        <v>1.5</v>
      </c>
      <c r="D13" s="31">
        <v>0.0</v>
      </c>
      <c r="E13" s="31">
        <v>1.32</v>
      </c>
      <c r="F13" s="31">
        <v>1.4</v>
      </c>
      <c r="G13" s="31">
        <v>0.0</v>
      </c>
      <c r="H13" s="24">
        <v>0.0</v>
      </c>
      <c r="I13" s="25">
        <f t="shared" si="1"/>
        <v>7.3</v>
      </c>
      <c r="J13" s="26">
        <f t="shared" si="11"/>
        <v>128.6602396</v>
      </c>
      <c r="K13" s="26" t="s">
        <v>51</v>
      </c>
      <c r="L13" s="26">
        <f t="shared" si="2"/>
        <v>74.696832</v>
      </c>
      <c r="M13" s="26">
        <f t="shared" si="3"/>
        <v>203.3570716</v>
      </c>
      <c r="N13" s="27">
        <v>340.0</v>
      </c>
      <c r="O13" s="27">
        <v>322.0</v>
      </c>
      <c r="P13" s="28">
        <v>116.0</v>
      </c>
      <c r="Q13" s="28">
        <v>70.0</v>
      </c>
      <c r="R13" s="25">
        <f t="shared" si="12"/>
        <v>46657.37539</v>
      </c>
      <c r="S13" s="25">
        <f t="shared" si="13"/>
        <v>55988.85047</v>
      </c>
      <c r="T13" s="29">
        <f t="shared" si="4"/>
        <v>55.98885047</v>
      </c>
    </row>
    <row r="14">
      <c r="A14" s="22" t="s">
        <v>56</v>
      </c>
      <c r="B14" s="23" t="s">
        <v>49</v>
      </c>
      <c r="C14" s="23">
        <v>2.12</v>
      </c>
      <c r="D14" s="23">
        <v>0.0</v>
      </c>
      <c r="E14" s="23">
        <v>1.7</v>
      </c>
      <c r="F14" s="23">
        <v>1.2</v>
      </c>
      <c r="G14" s="23">
        <v>0.0</v>
      </c>
      <c r="H14" s="24">
        <v>0.0</v>
      </c>
      <c r="I14" s="25">
        <f t="shared" si="1"/>
        <v>8.76</v>
      </c>
      <c r="J14" s="26">
        <f>(C14*C14*0.785*7*1.02*2.703*2)+(D14*D14*0.785*7*1.02*2.703)</f>
        <v>136.1807218</v>
      </c>
      <c r="K14" s="26">
        <f>(E14*E14*0.785*7*1.02*2.703)</f>
        <v>43.78362918</v>
      </c>
      <c r="L14" s="26">
        <f t="shared" ref="L14:L17" si="14">(((C14*3)+F14)*F14*0.96*3.14*2)+(((D14*3)+G14)*G14*0.96*3.14)+(((E14*3)+H14)*H14*0.96*3.14)</f>
        <v>54.6932736</v>
      </c>
      <c r="M14" s="26">
        <f t="shared" si="3"/>
        <v>190.8739954</v>
      </c>
      <c r="N14" s="27">
        <v>340.0</v>
      </c>
      <c r="O14" s="27">
        <v>322.0</v>
      </c>
      <c r="P14" s="28">
        <v>116.0</v>
      </c>
      <c r="Q14" s="28">
        <v>70.0</v>
      </c>
      <c r="R14" s="25">
        <f>(J14*O14)+(K14*N14)+(L14*P14)</f>
        <v>65081.04608</v>
      </c>
      <c r="S14" s="25">
        <f>R14*1.15</f>
        <v>74843.20299</v>
      </c>
      <c r="T14" s="29">
        <f t="shared" si="4"/>
        <v>74.84320299</v>
      </c>
    </row>
    <row r="15">
      <c r="A15" s="30"/>
      <c r="B15" s="31" t="s">
        <v>50</v>
      </c>
      <c r="C15" s="31">
        <v>1.7</v>
      </c>
      <c r="D15" s="31">
        <v>0.0</v>
      </c>
      <c r="E15" s="31">
        <v>1.5</v>
      </c>
      <c r="F15" s="31">
        <v>1.3</v>
      </c>
      <c r="G15" s="31">
        <v>0.0</v>
      </c>
      <c r="H15" s="24">
        <v>0.0</v>
      </c>
      <c r="I15" s="25">
        <f t="shared" si="1"/>
        <v>7.7</v>
      </c>
      <c r="J15" s="26">
        <f t="shared" ref="J15:J17" si="15">(C15*C15*0.785*7*1.02*2.703*2)+(D15*D15*0.785*7*1.02*2.703)+(E15*E15*0.785*7*1.02*2.703)</f>
        <v>121.6548589</v>
      </c>
      <c r="K15" s="26" t="s">
        <v>51</v>
      </c>
      <c r="L15" s="26">
        <f t="shared" si="14"/>
        <v>50.159616</v>
      </c>
      <c r="M15" s="26">
        <f t="shared" si="3"/>
        <v>171.8144749</v>
      </c>
      <c r="N15" s="27">
        <v>340.0</v>
      </c>
      <c r="O15" s="27">
        <v>322.0</v>
      </c>
      <c r="P15" s="28">
        <v>116.0</v>
      </c>
      <c r="Q15" s="28">
        <v>70.0</v>
      </c>
      <c r="R15" s="25">
        <f t="shared" ref="R15:R17" si="16">(J15*O15)+(L15*Q15)</f>
        <v>42684.0377</v>
      </c>
      <c r="S15" s="25">
        <f t="shared" ref="S15:S17" si="17">R15*1.2</f>
        <v>51220.84524</v>
      </c>
      <c r="T15" s="29">
        <f t="shared" si="4"/>
        <v>51.22084524</v>
      </c>
    </row>
    <row r="16">
      <c r="A16" s="32"/>
      <c r="B16" s="23" t="s">
        <v>52</v>
      </c>
      <c r="C16" s="23">
        <v>1.6</v>
      </c>
      <c r="D16" s="23">
        <v>0.0</v>
      </c>
      <c r="E16" s="23">
        <v>1.4</v>
      </c>
      <c r="F16" s="23">
        <v>1.3</v>
      </c>
      <c r="G16" s="23">
        <v>0.0</v>
      </c>
      <c r="H16" s="24">
        <v>0.0</v>
      </c>
      <c r="I16" s="25">
        <f t="shared" si="1"/>
        <v>7.4</v>
      </c>
      <c r="J16" s="26">
        <f t="shared" si="15"/>
        <v>107.2623165</v>
      </c>
      <c r="K16" s="26" t="s">
        <v>51</v>
      </c>
      <c r="L16" s="26">
        <f t="shared" si="14"/>
        <v>47.808384</v>
      </c>
      <c r="M16" s="26">
        <f t="shared" si="3"/>
        <v>155.0707005</v>
      </c>
      <c r="N16" s="27">
        <v>340.0</v>
      </c>
      <c r="O16" s="27">
        <v>322.0</v>
      </c>
      <c r="P16" s="28">
        <v>116.0</v>
      </c>
      <c r="Q16" s="28">
        <v>70.0</v>
      </c>
      <c r="R16" s="25">
        <f t="shared" si="16"/>
        <v>37885.05279</v>
      </c>
      <c r="S16" s="25">
        <f t="shared" si="17"/>
        <v>45462.06334</v>
      </c>
      <c r="T16" s="29">
        <f t="shared" si="4"/>
        <v>45.46206334</v>
      </c>
    </row>
    <row r="17">
      <c r="A17" s="33"/>
      <c r="B17" s="31" t="s">
        <v>53</v>
      </c>
      <c r="C17" s="31">
        <v>1.5</v>
      </c>
      <c r="D17" s="31">
        <v>0.0</v>
      </c>
      <c r="E17" s="31">
        <v>1.32</v>
      </c>
      <c r="F17" s="31">
        <v>1.4</v>
      </c>
      <c r="G17" s="31">
        <v>0.0</v>
      </c>
      <c r="H17" s="24">
        <v>0.0</v>
      </c>
      <c r="I17" s="25">
        <f t="shared" si="1"/>
        <v>7.3</v>
      </c>
      <c r="J17" s="26">
        <f t="shared" si="15"/>
        <v>94.57263904</v>
      </c>
      <c r="K17" s="26" t="s">
        <v>51</v>
      </c>
      <c r="L17" s="26">
        <f t="shared" si="14"/>
        <v>49.797888</v>
      </c>
      <c r="M17" s="26">
        <f t="shared" si="3"/>
        <v>144.370527</v>
      </c>
      <c r="N17" s="27">
        <v>340.0</v>
      </c>
      <c r="O17" s="27">
        <v>322.0</v>
      </c>
      <c r="P17" s="28">
        <v>116.0</v>
      </c>
      <c r="Q17" s="28">
        <v>70.0</v>
      </c>
      <c r="R17" s="25">
        <f t="shared" si="16"/>
        <v>33938.24193</v>
      </c>
      <c r="S17" s="25">
        <f t="shared" si="17"/>
        <v>40725.89032</v>
      </c>
      <c r="T17" s="29">
        <f t="shared" si="4"/>
        <v>40.72589032</v>
      </c>
    </row>
    <row r="18">
      <c r="A18" s="22" t="s">
        <v>57</v>
      </c>
      <c r="B18" s="23" t="s">
        <v>49</v>
      </c>
      <c r="C18" s="23">
        <v>2.12</v>
      </c>
      <c r="D18" s="23">
        <v>0.0</v>
      </c>
      <c r="E18" s="23">
        <v>2.12</v>
      </c>
      <c r="F18" s="23">
        <v>1.2</v>
      </c>
      <c r="G18" s="23">
        <v>0.0</v>
      </c>
      <c r="H18" s="24">
        <v>0.0</v>
      </c>
      <c r="I18" s="25">
        <f t="shared" si="1"/>
        <v>8.76</v>
      </c>
      <c r="J18" s="26">
        <f>(C18*C18*0.785*7*1.02*2.703*3)+(D18*D18*0.785*7*1.02*2.703)</f>
        <v>204.2710827</v>
      </c>
      <c r="K18" s="26">
        <f>(E18*E18*0.785*7*1.02*2.703)</f>
        <v>68.0903609</v>
      </c>
      <c r="L18" s="26">
        <f t="shared" ref="L18:L41" si="18">(((C18*3)+F18)*F18*0.96*3.14*3)+(((D18*3)+G18)*G18*0.96*3.14)+(((E18*3)+H18)*H18*0.96*3.14)</f>
        <v>82.0399104</v>
      </c>
      <c r="M18" s="26">
        <f t="shared" si="3"/>
        <v>286.3109931</v>
      </c>
      <c r="N18" s="27">
        <v>340.0</v>
      </c>
      <c r="O18" s="27">
        <v>322.0</v>
      </c>
      <c r="P18" s="28">
        <v>116.0</v>
      </c>
      <c r="Q18" s="28">
        <v>70.0</v>
      </c>
      <c r="R18" s="25">
        <f>(J18*O18)+(K18*N18)+(L18*P18)</f>
        <v>98442.64094</v>
      </c>
      <c r="S18" s="25">
        <f>R18*1.15</f>
        <v>113209.0371</v>
      </c>
      <c r="T18" s="29">
        <f t="shared" si="4"/>
        <v>113.2090371</v>
      </c>
    </row>
    <row r="19">
      <c r="A19" s="30"/>
      <c r="B19" s="31" t="s">
        <v>50</v>
      </c>
      <c r="C19" s="31">
        <v>1.7</v>
      </c>
      <c r="D19" s="31">
        <v>0.0</v>
      </c>
      <c r="E19" s="31">
        <v>1.7</v>
      </c>
      <c r="F19" s="31">
        <v>1.3</v>
      </c>
      <c r="G19" s="31">
        <v>0.0</v>
      </c>
      <c r="H19" s="24">
        <v>0.0</v>
      </c>
      <c r="I19" s="25">
        <f t="shared" si="1"/>
        <v>7.7</v>
      </c>
      <c r="J19" s="26">
        <f t="shared" ref="J19:J21" si="19">(C19*C19*0.785*7*1.02*2.703*3)+(D19*D19*0.785*7*1.02*2.703)+(E19*E19*0.785*7*1.02*2.703)</f>
        <v>175.1345167</v>
      </c>
      <c r="K19" s="26" t="s">
        <v>51</v>
      </c>
      <c r="L19" s="26">
        <f t="shared" si="18"/>
        <v>75.239424</v>
      </c>
      <c r="M19" s="26">
        <f t="shared" si="3"/>
        <v>250.3739407</v>
      </c>
      <c r="N19" s="27">
        <v>340.0</v>
      </c>
      <c r="O19" s="27">
        <v>322.0</v>
      </c>
      <c r="P19" s="28">
        <v>116.0</v>
      </c>
      <c r="Q19" s="28">
        <v>70.0</v>
      </c>
      <c r="R19" s="25">
        <f t="shared" ref="R19:R21" si="20">(J19*O19)+(L19*Q19)</f>
        <v>61660.07407</v>
      </c>
      <c r="S19" s="25">
        <f t="shared" ref="S19:S21" si="21">R19*1.2</f>
        <v>73992.08888</v>
      </c>
      <c r="T19" s="29">
        <f t="shared" si="4"/>
        <v>73.99208888</v>
      </c>
    </row>
    <row r="20">
      <c r="A20" s="32"/>
      <c r="B20" s="23" t="s">
        <v>52</v>
      </c>
      <c r="C20" s="23">
        <v>1.6</v>
      </c>
      <c r="D20" s="23">
        <v>0.0</v>
      </c>
      <c r="E20" s="23">
        <v>1.6</v>
      </c>
      <c r="F20" s="23">
        <v>1.3</v>
      </c>
      <c r="G20" s="23">
        <v>0.0</v>
      </c>
      <c r="H20" s="24">
        <v>0.0</v>
      </c>
      <c r="I20" s="25">
        <f t="shared" si="1"/>
        <v>7.4</v>
      </c>
      <c r="J20" s="26">
        <f t="shared" si="19"/>
        <v>155.1364577</v>
      </c>
      <c r="K20" s="26" t="s">
        <v>51</v>
      </c>
      <c r="L20" s="26">
        <f t="shared" si="18"/>
        <v>71.712576</v>
      </c>
      <c r="M20" s="26">
        <f t="shared" si="3"/>
        <v>226.8490337</v>
      </c>
      <c r="N20" s="27">
        <v>340.0</v>
      </c>
      <c r="O20" s="27">
        <v>322.0</v>
      </c>
      <c r="P20" s="28">
        <v>116.0</v>
      </c>
      <c r="Q20" s="28">
        <v>70.0</v>
      </c>
      <c r="R20" s="25">
        <f t="shared" si="20"/>
        <v>54973.81971</v>
      </c>
      <c r="S20" s="25">
        <f t="shared" si="21"/>
        <v>65968.58365</v>
      </c>
      <c r="T20" s="29">
        <f t="shared" si="4"/>
        <v>65.96858365</v>
      </c>
    </row>
    <row r="21">
      <c r="A21" s="33"/>
      <c r="B21" s="31" t="s">
        <v>53</v>
      </c>
      <c r="C21" s="31">
        <v>1.5</v>
      </c>
      <c r="D21" s="31">
        <v>0.0</v>
      </c>
      <c r="E21" s="31">
        <v>1.5</v>
      </c>
      <c r="F21" s="31">
        <v>1.4</v>
      </c>
      <c r="G21" s="31">
        <v>0.0</v>
      </c>
      <c r="H21" s="24">
        <v>0.0</v>
      </c>
      <c r="I21" s="25">
        <f t="shared" si="1"/>
        <v>7.3</v>
      </c>
      <c r="J21" s="26">
        <f t="shared" si="19"/>
        <v>136.3504023</v>
      </c>
      <c r="K21" s="26" t="s">
        <v>51</v>
      </c>
      <c r="L21" s="26">
        <f t="shared" si="18"/>
        <v>74.696832</v>
      </c>
      <c r="M21" s="26">
        <f t="shared" si="3"/>
        <v>211.0472343</v>
      </c>
      <c r="N21" s="27">
        <v>340.0</v>
      </c>
      <c r="O21" s="27">
        <v>322.0</v>
      </c>
      <c r="P21" s="28">
        <v>116.0</v>
      </c>
      <c r="Q21" s="28">
        <v>70.0</v>
      </c>
      <c r="R21" s="25">
        <f t="shared" si="20"/>
        <v>49133.60778</v>
      </c>
      <c r="S21" s="25">
        <f t="shared" si="21"/>
        <v>58960.32934</v>
      </c>
      <c r="T21" s="29">
        <f t="shared" si="4"/>
        <v>58.96032934</v>
      </c>
    </row>
    <row r="22">
      <c r="A22" s="22" t="s">
        <v>58</v>
      </c>
      <c r="B22" s="23" t="s">
        <v>49</v>
      </c>
      <c r="C22" s="23">
        <v>2.12</v>
      </c>
      <c r="D22" s="23">
        <v>1.7</v>
      </c>
      <c r="E22" s="23">
        <v>2.12</v>
      </c>
      <c r="F22" s="23">
        <v>1.2</v>
      </c>
      <c r="G22" s="23">
        <v>1.2</v>
      </c>
      <c r="H22" s="24">
        <v>0.0</v>
      </c>
      <c r="I22" s="25">
        <f t="shared" si="1"/>
        <v>8.76</v>
      </c>
      <c r="J22" s="26">
        <f>(C22*C22*0.785*7*1.02*2.703*3)+(D22*D22*0.785*7*1.02*2.703)</f>
        <v>248.0547119</v>
      </c>
      <c r="K22" s="26">
        <f>(E22*E22*0.785*7*1.02*2.703)</f>
        <v>68.0903609</v>
      </c>
      <c r="L22" s="26">
        <f t="shared" si="18"/>
        <v>104.8287744</v>
      </c>
      <c r="M22" s="26">
        <f t="shared" si="3"/>
        <v>352.8834863</v>
      </c>
      <c r="N22" s="27">
        <v>340.0</v>
      </c>
      <c r="O22" s="27">
        <v>322.0</v>
      </c>
      <c r="P22" s="28">
        <v>116.0</v>
      </c>
      <c r="Q22" s="28">
        <v>70.0</v>
      </c>
      <c r="R22" s="25">
        <f>(J22*O22)+(K22*N22)+(L22*P22)</f>
        <v>115184.4778</v>
      </c>
      <c r="S22" s="25">
        <f>R22*1.15</f>
        <v>132462.1494</v>
      </c>
      <c r="T22" s="29">
        <f t="shared" si="4"/>
        <v>132.4621494</v>
      </c>
    </row>
    <row r="23">
      <c r="A23" s="30"/>
      <c r="B23" s="31" t="s">
        <v>50</v>
      </c>
      <c r="C23" s="31">
        <v>1.7</v>
      </c>
      <c r="D23" s="31">
        <v>1.5</v>
      </c>
      <c r="E23" s="31">
        <v>1.7</v>
      </c>
      <c r="F23" s="31">
        <v>1.3</v>
      </c>
      <c r="G23" s="31">
        <v>1.3</v>
      </c>
      <c r="H23" s="24">
        <v>0.0</v>
      </c>
      <c r="I23" s="25">
        <f t="shared" si="1"/>
        <v>7.7</v>
      </c>
      <c r="J23" s="26">
        <f t="shared" ref="J23:J25" si="22">(C23*C23*0.785*7*1.02*2.703*3)+(D23*D23*0.785*7*1.02*2.703)+(E23*E23*0.785*7*1.02*2.703)</f>
        <v>209.2221173</v>
      </c>
      <c r="K23" s="26" t="s">
        <v>51</v>
      </c>
      <c r="L23" s="26">
        <f t="shared" si="18"/>
        <v>97.968</v>
      </c>
      <c r="M23" s="26">
        <f t="shared" si="3"/>
        <v>307.1901173</v>
      </c>
      <c r="N23" s="27">
        <v>340.0</v>
      </c>
      <c r="O23" s="27">
        <v>322.0</v>
      </c>
      <c r="P23" s="28">
        <v>116.0</v>
      </c>
      <c r="Q23" s="28">
        <v>70.0</v>
      </c>
      <c r="R23" s="25">
        <f t="shared" ref="R23:R25" si="23">(J23*O23)+(L23*Q23)</f>
        <v>74227.28177</v>
      </c>
      <c r="S23" s="25">
        <f t="shared" ref="S23:S25" si="24">R23*1.2</f>
        <v>89072.73813</v>
      </c>
      <c r="T23" s="29">
        <f t="shared" si="4"/>
        <v>89.07273813</v>
      </c>
    </row>
    <row r="24">
      <c r="A24" s="32"/>
      <c r="B24" s="23" t="s">
        <v>52</v>
      </c>
      <c r="C24" s="23">
        <v>1.6</v>
      </c>
      <c r="D24" s="23">
        <v>1.4</v>
      </c>
      <c r="E24" s="23">
        <v>1.6</v>
      </c>
      <c r="F24" s="23">
        <v>1.3</v>
      </c>
      <c r="G24" s="23">
        <v>1.3</v>
      </c>
      <c r="H24" s="24">
        <v>0.0</v>
      </c>
      <c r="I24" s="25">
        <f t="shared" si="1"/>
        <v>7.4</v>
      </c>
      <c r="J24" s="26">
        <f t="shared" si="22"/>
        <v>184.8305453</v>
      </c>
      <c r="K24" s="26" t="s">
        <v>51</v>
      </c>
      <c r="L24" s="26">
        <f t="shared" si="18"/>
        <v>93.265536</v>
      </c>
      <c r="M24" s="26">
        <f t="shared" si="3"/>
        <v>278.0960813</v>
      </c>
      <c r="N24" s="27">
        <v>340.0</v>
      </c>
      <c r="O24" s="27">
        <v>322.0</v>
      </c>
      <c r="P24" s="28">
        <v>116.0</v>
      </c>
      <c r="Q24" s="28">
        <v>70.0</v>
      </c>
      <c r="R24" s="25">
        <f t="shared" si="23"/>
        <v>66044.02312</v>
      </c>
      <c r="S24" s="25">
        <f t="shared" si="24"/>
        <v>79252.82774</v>
      </c>
      <c r="T24" s="29">
        <f t="shared" si="4"/>
        <v>79.25282774</v>
      </c>
    </row>
    <row r="25">
      <c r="A25" s="33"/>
      <c r="B25" s="31" t="s">
        <v>53</v>
      </c>
      <c r="C25" s="31">
        <v>1.5</v>
      </c>
      <c r="D25" s="31">
        <v>1.32</v>
      </c>
      <c r="E25" s="31">
        <v>1.5</v>
      </c>
      <c r="F25" s="31">
        <v>1.4</v>
      </c>
      <c r="G25" s="31">
        <v>1.4</v>
      </c>
      <c r="H25" s="24">
        <v>0.0</v>
      </c>
      <c r="I25" s="25">
        <f t="shared" si="1"/>
        <v>7.3</v>
      </c>
      <c r="J25" s="26">
        <f t="shared" si="22"/>
        <v>162.7478402</v>
      </c>
      <c r="K25" s="26" t="s">
        <v>51</v>
      </c>
      <c r="L25" s="26">
        <f t="shared" si="18"/>
        <v>97.3168896</v>
      </c>
      <c r="M25" s="26">
        <f t="shared" si="3"/>
        <v>260.0647298</v>
      </c>
      <c r="N25" s="27">
        <v>340.0</v>
      </c>
      <c r="O25" s="27">
        <v>322.0</v>
      </c>
      <c r="P25" s="28">
        <v>116.0</v>
      </c>
      <c r="Q25" s="28">
        <v>70.0</v>
      </c>
      <c r="R25" s="25">
        <f t="shared" si="23"/>
        <v>59216.98681</v>
      </c>
      <c r="S25" s="25">
        <f t="shared" si="24"/>
        <v>71060.38417</v>
      </c>
      <c r="T25" s="29">
        <f t="shared" si="4"/>
        <v>71.06038417</v>
      </c>
    </row>
    <row r="26">
      <c r="A26" s="22" t="s">
        <v>59</v>
      </c>
      <c r="B26" s="23" t="s">
        <v>49</v>
      </c>
      <c r="C26" s="23">
        <v>2.52</v>
      </c>
      <c r="D26" s="23">
        <v>0.0</v>
      </c>
      <c r="E26" s="23">
        <v>2.12</v>
      </c>
      <c r="F26" s="23">
        <v>1.2</v>
      </c>
      <c r="G26" s="23">
        <v>0.0</v>
      </c>
      <c r="H26" s="24">
        <v>0.0</v>
      </c>
      <c r="I26" s="25">
        <f t="shared" si="1"/>
        <v>9.96</v>
      </c>
      <c r="J26" s="26">
        <f>(C26*C26*0.785*7*1.02*2.703*3)+(D26*D26*0.785*7*1.02*2.703)</f>
        <v>288.6265316</v>
      </c>
      <c r="K26" s="26">
        <f>(E26*E26*0.785*7*1.02*2.703)</f>
        <v>68.0903609</v>
      </c>
      <c r="L26" s="26">
        <f t="shared" si="18"/>
        <v>95.0621184</v>
      </c>
      <c r="M26" s="26">
        <f t="shared" si="3"/>
        <v>383.68865</v>
      </c>
      <c r="N26" s="27">
        <v>340.0</v>
      </c>
      <c r="O26" s="27">
        <v>322.0</v>
      </c>
      <c r="P26" s="28">
        <v>116.0</v>
      </c>
      <c r="Q26" s="28">
        <v>70.0</v>
      </c>
      <c r="R26" s="25">
        <f>(J26*O26)+(K26*N26)+(L26*P26)</f>
        <v>127115.6716</v>
      </c>
      <c r="S26" s="25">
        <f>R26*1.15</f>
        <v>146183.0224</v>
      </c>
      <c r="T26" s="29">
        <f t="shared" si="4"/>
        <v>146.1830224</v>
      </c>
    </row>
    <row r="27">
      <c r="A27" s="30"/>
      <c r="B27" s="31" t="s">
        <v>50</v>
      </c>
      <c r="C27" s="31">
        <v>2.08</v>
      </c>
      <c r="D27" s="31">
        <v>0.0</v>
      </c>
      <c r="E27" s="31">
        <v>1.7</v>
      </c>
      <c r="F27" s="31">
        <v>1.3</v>
      </c>
      <c r="G27" s="31">
        <v>0.0</v>
      </c>
      <c r="H27" s="24">
        <v>0.0</v>
      </c>
      <c r="I27" s="25">
        <f t="shared" si="1"/>
        <v>8.84</v>
      </c>
      <c r="J27" s="26">
        <f t="shared" ref="J27:J29" si="25">(C27*C27*0.785*7*1.02*2.703*3)+(D27*D27*0.785*7*1.02*2.703)+(E27*E27*0.785*7*1.02*2.703)</f>
        <v>240.4190894</v>
      </c>
      <c r="K27" s="26" t="s">
        <v>51</v>
      </c>
      <c r="L27" s="26">
        <f t="shared" si="18"/>
        <v>88.6414464</v>
      </c>
      <c r="M27" s="26">
        <f t="shared" si="3"/>
        <v>329.0605358</v>
      </c>
      <c r="N27" s="27">
        <v>340.0</v>
      </c>
      <c r="O27" s="27">
        <v>322.0</v>
      </c>
      <c r="P27" s="28">
        <v>116.0</v>
      </c>
      <c r="Q27" s="28">
        <v>70.0</v>
      </c>
      <c r="R27" s="25">
        <f t="shared" ref="R27:R29" si="26">(J27*O27)+(L27*Q27)</f>
        <v>83619.84802</v>
      </c>
      <c r="S27" s="25">
        <f t="shared" ref="S27:S29" si="27">R27*1.2</f>
        <v>100343.8176</v>
      </c>
      <c r="T27" s="29">
        <f t="shared" si="4"/>
        <v>100.3438176</v>
      </c>
    </row>
    <row r="28">
      <c r="A28" s="32"/>
      <c r="B28" s="23" t="s">
        <v>52</v>
      </c>
      <c r="C28" s="23">
        <v>1.9</v>
      </c>
      <c r="D28" s="23">
        <v>0.0</v>
      </c>
      <c r="E28" s="23">
        <v>1.6</v>
      </c>
      <c r="F28" s="23">
        <v>1.3</v>
      </c>
      <c r="G28" s="23">
        <v>0.0</v>
      </c>
      <c r="H28" s="24">
        <v>0.0</v>
      </c>
      <c r="I28" s="25">
        <f t="shared" si="1"/>
        <v>8.3</v>
      </c>
      <c r="J28" s="26">
        <f t="shared" si="25"/>
        <v>202.8590985</v>
      </c>
      <c r="K28" s="26" t="s">
        <v>51</v>
      </c>
      <c r="L28" s="26">
        <f t="shared" si="18"/>
        <v>82.29312</v>
      </c>
      <c r="M28" s="26">
        <f t="shared" si="3"/>
        <v>285.1522185</v>
      </c>
      <c r="N28" s="27">
        <v>340.0</v>
      </c>
      <c r="O28" s="27">
        <v>322.0</v>
      </c>
      <c r="P28" s="28">
        <v>116.0</v>
      </c>
      <c r="Q28" s="28">
        <v>70.0</v>
      </c>
      <c r="R28" s="25">
        <f t="shared" si="26"/>
        <v>71081.14813</v>
      </c>
      <c r="S28" s="25">
        <f t="shared" si="27"/>
        <v>85297.37775</v>
      </c>
      <c r="T28" s="29">
        <f t="shared" si="4"/>
        <v>85.29737775</v>
      </c>
    </row>
    <row r="29">
      <c r="A29" s="33"/>
      <c r="B29" s="31" t="s">
        <v>53</v>
      </c>
      <c r="C29" s="31">
        <v>1.85</v>
      </c>
      <c r="D29" s="31">
        <v>0.0</v>
      </c>
      <c r="E29" s="31">
        <v>1.5</v>
      </c>
      <c r="F29" s="31">
        <v>1.4</v>
      </c>
      <c r="G29" s="31">
        <v>0.0</v>
      </c>
      <c r="H29" s="24">
        <v>0.0</v>
      </c>
      <c r="I29" s="25">
        <f t="shared" si="1"/>
        <v>8.35</v>
      </c>
      <c r="J29" s="26">
        <f t="shared" si="25"/>
        <v>189.6406845</v>
      </c>
      <c r="K29" s="26" t="s">
        <v>51</v>
      </c>
      <c r="L29" s="26">
        <f t="shared" si="18"/>
        <v>87.990336</v>
      </c>
      <c r="M29" s="26">
        <f t="shared" si="3"/>
        <v>277.6310205</v>
      </c>
      <c r="N29" s="27">
        <v>340.0</v>
      </c>
      <c r="O29" s="27">
        <v>322.0</v>
      </c>
      <c r="P29" s="28">
        <v>116.0</v>
      </c>
      <c r="Q29" s="28">
        <v>70.0</v>
      </c>
      <c r="R29" s="25">
        <f t="shared" si="26"/>
        <v>67223.62394</v>
      </c>
      <c r="S29" s="25">
        <f t="shared" si="27"/>
        <v>80668.34873</v>
      </c>
      <c r="T29" s="29">
        <f t="shared" si="4"/>
        <v>80.66834873</v>
      </c>
    </row>
    <row r="30">
      <c r="A30" s="22" t="s">
        <v>60</v>
      </c>
      <c r="B30" s="23" t="s">
        <v>49</v>
      </c>
      <c r="C30" s="23">
        <v>2.52</v>
      </c>
      <c r="D30" s="23">
        <v>1.7</v>
      </c>
      <c r="E30" s="23">
        <v>2.12</v>
      </c>
      <c r="F30" s="23">
        <v>1.2</v>
      </c>
      <c r="G30" s="23">
        <v>1.2</v>
      </c>
      <c r="H30" s="24">
        <v>0.0</v>
      </c>
      <c r="I30" s="25">
        <f t="shared" si="1"/>
        <v>9.96</v>
      </c>
      <c r="J30" s="26">
        <f>(C30*C30*0.785*7*1.02*2.703*3)+(D30*D30*0.785*7*1.02*2.703)</f>
        <v>332.4101608</v>
      </c>
      <c r="K30" s="26">
        <f>(E30*E30*0.785*7*1.02*2.703)</f>
        <v>68.0903609</v>
      </c>
      <c r="L30" s="26">
        <f t="shared" si="18"/>
        <v>117.8509824</v>
      </c>
      <c r="M30" s="26">
        <f t="shared" si="3"/>
        <v>450.2611432</v>
      </c>
      <c r="N30" s="27">
        <v>340.0</v>
      </c>
      <c r="O30" s="27">
        <v>322.0</v>
      </c>
      <c r="P30" s="28">
        <v>116.0</v>
      </c>
      <c r="Q30" s="28">
        <v>70.0</v>
      </c>
      <c r="R30" s="25">
        <f>(J30*O30)+(K30*N30)+(L30*P30)</f>
        <v>143857.5084</v>
      </c>
      <c r="S30" s="25">
        <f>R30*1.15</f>
        <v>165436.1347</v>
      </c>
      <c r="T30" s="29">
        <f t="shared" si="4"/>
        <v>165.4361347</v>
      </c>
    </row>
    <row r="31">
      <c r="A31" s="30"/>
      <c r="B31" s="31" t="s">
        <v>50</v>
      </c>
      <c r="C31" s="31">
        <v>2.08</v>
      </c>
      <c r="D31" s="31">
        <v>1.5</v>
      </c>
      <c r="E31" s="31">
        <v>1.7</v>
      </c>
      <c r="F31" s="31">
        <v>1.3</v>
      </c>
      <c r="G31" s="31">
        <v>1.3</v>
      </c>
      <c r="H31" s="24">
        <v>0.0</v>
      </c>
      <c r="I31" s="25">
        <f t="shared" si="1"/>
        <v>8.84</v>
      </c>
      <c r="J31" s="26">
        <f t="shared" ref="J31:J33" si="28">(C31*C31*0.785*7*1.02*2.703*3)+(D31*D31*0.785*7*1.02*2.703)+(E31*E31*0.785*7*1.02*2.703)</f>
        <v>274.5066899</v>
      </c>
      <c r="K31" s="26" t="s">
        <v>51</v>
      </c>
      <c r="L31" s="26">
        <f t="shared" si="18"/>
        <v>111.3700224</v>
      </c>
      <c r="M31" s="26">
        <f t="shared" si="3"/>
        <v>385.8767123</v>
      </c>
      <c r="N31" s="27">
        <v>340.0</v>
      </c>
      <c r="O31" s="27">
        <v>322.0</v>
      </c>
      <c r="P31" s="28">
        <v>116.0</v>
      </c>
      <c r="Q31" s="28">
        <v>70.0</v>
      </c>
      <c r="R31" s="25">
        <f t="shared" ref="R31:R33" si="29">(J31*O31)+(L31*Q31)</f>
        <v>96187.05572</v>
      </c>
      <c r="S31" s="25">
        <f t="shared" ref="S31:S33" si="30">R31*1.2</f>
        <v>115424.4669</v>
      </c>
      <c r="T31" s="29">
        <f t="shared" si="4"/>
        <v>115.4244669</v>
      </c>
    </row>
    <row r="32">
      <c r="A32" s="32"/>
      <c r="B32" s="23" t="s">
        <v>52</v>
      </c>
      <c r="C32" s="23">
        <v>1.9</v>
      </c>
      <c r="D32" s="23">
        <v>1.4</v>
      </c>
      <c r="E32" s="23">
        <v>1.6</v>
      </c>
      <c r="F32" s="23">
        <v>1.3</v>
      </c>
      <c r="G32" s="23">
        <v>1.3</v>
      </c>
      <c r="H32" s="24">
        <v>0.0</v>
      </c>
      <c r="I32" s="25">
        <f t="shared" si="1"/>
        <v>8.3</v>
      </c>
      <c r="J32" s="26">
        <f t="shared" si="28"/>
        <v>232.5531861</v>
      </c>
      <c r="K32" s="26" t="s">
        <v>51</v>
      </c>
      <c r="L32" s="26">
        <f t="shared" si="18"/>
        <v>103.84608</v>
      </c>
      <c r="M32" s="26">
        <f t="shared" si="3"/>
        <v>336.3992661</v>
      </c>
      <c r="N32" s="27">
        <v>340.0</v>
      </c>
      <c r="O32" s="27">
        <v>322.0</v>
      </c>
      <c r="P32" s="28">
        <v>116.0</v>
      </c>
      <c r="Q32" s="28">
        <v>70.0</v>
      </c>
      <c r="R32" s="25">
        <f t="shared" si="29"/>
        <v>82151.35154</v>
      </c>
      <c r="S32" s="25">
        <f t="shared" si="30"/>
        <v>98581.62185</v>
      </c>
      <c r="T32" s="29">
        <f t="shared" si="4"/>
        <v>98.58162185</v>
      </c>
    </row>
    <row r="33">
      <c r="A33" s="33"/>
      <c r="B33" s="31" t="s">
        <v>53</v>
      </c>
      <c r="C33" s="31">
        <v>1.85</v>
      </c>
      <c r="D33" s="31">
        <v>1.32</v>
      </c>
      <c r="E33" s="31">
        <v>1.5</v>
      </c>
      <c r="F33" s="31">
        <v>1.4</v>
      </c>
      <c r="G33" s="31">
        <v>1.4</v>
      </c>
      <c r="H33" s="24">
        <v>0.0</v>
      </c>
      <c r="I33" s="25">
        <f t="shared" si="1"/>
        <v>8.35</v>
      </c>
      <c r="J33" s="26">
        <f t="shared" si="28"/>
        <v>216.0381224</v>
      </c>
      <c r="K33" s="26" t="s">
        <v>51</v>
      </c>
      <c r="L33" s="26">
        <f t="shared" si="18"/>
        <v>110.6103936</v>
      </c>
      <c r="M33" s="26">
        <f t="shared" si="3"/>
        <v>326.648516</v>
      </c>
      <c r="N33" s="27">
        <v>340.0</v>
      </c>
      <c r="O33" s="27">
        <v>322.0</v>
      </c>
      <c r="P33" s="28">
        <v>116.0</v>
      </c>
      <c r="Q33" s="28">
        <v>70.0</v>
      </c>
      <c r="R33" s="25">
        <f t="shared" si="29"/>
        <v>77307.00297</v>
      </c>
      <c r="S33" s="25">
        <f t="shared" si="30"/>
        <v>92768.40356</v>
      </c>
      <c r="T33" s="29">
        <f t="shared" si="4"/>
        <v>92.76840356</v>
      </c>
    </row>
    <row r="34" ht="18.0" customHeight="1">
      <c r="A34" s="22" t="s">
        <v>61</v>
      </c>
      <c r="B34" s="23" t="s">
        <v>49</v>
      </c>
      <c r="C34" s="23">
        <v>3.02</v>
      </c>
      <c r="D34" s="23">
        <v>0.0</v>
      </c>
      <c r="E34" s="23">
        <v>2.52</v>
      </c>
      <c r="F34" s="23">
        <v>1.2</v>
      </c>
      <c r="G34" s="23">
        <v>0.0</v>
      </c>
      <c r="H34" s="24">
        <v>0.0</v>
      </c>
      <c r="I34" s="25">
        <f t="shared" si="1"/>
        <v>11.46</v>
      </c>
      <c r="J34" s="26">
        <f>(C34*C34*0.785*7*1.02*2.703*3)+(D34*D34*0.785*7*1.02*2.703)</f>
        <v>414.523403</v>
      </c>
      <c r="K34" s="26">
        <f>(E34*E34*0.785*7*1.02*2.703)</f>
        <v>96.20884386</v>
      </c>
      <c r="L34" s="26">
        <f t="shared" si="18"/>
        <v>111.3398784</v>
      </c>
      <c r="M34" s="26">
        <f t="shared" si="3"/>
        <v>525.8632814</v>
      </c>
      <c r="N34" s="27">
        <v>340.0</v>
      </c>
      <c r="O34" s="27">
        <v>322.0</v>
      </c>
      <c r="P34" s="28">
        <v>116.0</v>
      </c>
      <c r="Q34" s="28">
        <v>70.0</v>
      </c>
      <c r="R34" s="25">
        <f>(J34*O34)+(K34*N34)+(L34*P34)</f>
        <v>179102.9686</v>
      </c>
      <c r="S34" s="25">
        <f>R34*1.15</f>
        <v>205968.4139</v>
      </c>
      <c r="T34" s="29">
        <f t="shared" si="4"/>
        <v>205.9684139</v>
      </c>
    </row>
    <row r="35">
      <c r="A35" s="30"/>
      <c r="B35" s="31" t="s">
        <v>50</v>
      </c>
      <c r="C35" s="31">
        <v>2.3</v>
      </c>
      <c r="D35" s="31">
        <v>0.0</v>
      </c>
      <c r="E35" s="31">
        <v>2.08</v>
      </c>
      <c r="F35" s="31">
        <v>1.3</v>
      </c>
      <c r="G35" s="31">
        <v>0.0</v>
      </c>
      <c r="H35" s="24">
        <v>0.0</v>
      </c>
      <c r="I35" s="25">
        <f t="shared" si="1"/>
        <v>9.5</v>
      </c>
      <c r="J35" s="26">
        <f t="shared" ref="J35:J37" si="31">(C35*C35*0.785*7*1.02*2.703*3)+(D35*D35*0.785*7*1.02*2.703)+(E35*E35*0.785*7*1.02*2.703)</f>
        <v>305.9763628</v>
      </c>
      <c r="K35" s="26" t="s">
        <v>51</v>
      </c>
      <c r="L35" s="26">
        <f t="shared" si="18"/>
        <v>96.400512</v>
      </c>
      <c r="M35" s="26">
        <f t="shared" si="3"/>
        <v>402.3768748</v>
      </c>
      <c r="N35" s="27">
        <v>340.0</v>
      </c>
      <c r="O35" s="27">
        <v>322.0</v>
      </c>
      <c r="P35" s="28">
        <v>116.0</v>
      </c>
      <c r="Q35" s="28">
        <v>70.0</v>
      </c>
      <c r="R35" s="25">
        <f t="shared" ref="R35:R37" si="32">(J35*O35)+(L35*Q35)</f>
        <v>105272.4247</v>
      </c>
      <c r="S35" s="25">
        <f t="shared" ref="S35:S37" si="33">R35*1.2</f>
        <v>126326.9096</v>
      </c>
      <c r="T35" s="29">
        <f t="shared" si="4"/>
        <v>126.3269096</v>
      </c>
    </row>
    <row r="36">
      <c r="A36" s="32"/>
      <c r="B36" s="23" t="s">
        <v>52</v>
      </c>
      <c r="C36" s="23">
        <v>2.2</v>
      </c>
      <c r="D36" s="23">
        <v>0.0</v>
      </c>
      <c r="E36" s="23">
        <v>1.9</v>
      </c>
      <c r="F36" s="23">
        <v>1.3</v>
      </c>
      <c r="G36" s="23">
        <v>0.0</v>
      </c>
      <c r="H36" s="24">
        <v>0.0</v>
      </c>
      <c r="I36" s="25">
        <f t="shared" si="1"/>
        <v>9.2</v>
      </c>
      <c r="J36" s="26">
        <f t="shared" si="31"/>
        <v>274.6703104</v>
      </c>
      <c r="K36" s="26" t="s">
        <v>51</v>
      </c>
      <c r="L36" s="26">
        <f t="shared" si="18"/>
        <v>92.873664</v>
      </c>
      <c r="M36" s="26">
        <f t="shared" si="3"/>
        <v>367.5439744</v>
      </c>
      <c r="N36" s="27">
        <v>340.0</v>
      </c>
      <c r="O36" s="27">
        <v>322.0</v>
      </c>
      <c r="P36" s="28">
        <v>116.0</v>
      </c>
      <c r="Q36" s="28">
        <v>70.0</v>
      </c>
      <c r="R36" s="25">
        <f t="shared" si="32"/>
        <v>94944.99643</v>
      </c>
      <c r="S36" s="25">
        <f t="shared" si="33"/>
        <v>113933.9957</v>
      </c>
      <c r="T36" s="29">
        <f t="shared" si="4"/>
        <v>113.9339957</v>
      </c>
    </row>
    <row r="37">
      <c r="A37" s="33"/>
      <c r="B37" s="31" t="s">
        <v>53</v>
      </c>
      <c r="C37" s="31">
        <v>2.1</v>
      </c>
      <c r="D37" s="31">
        <v>0.0</v>
      </c>
      <c r="E37" s="31">
        <v>1.85</v>
      </c>
      <c r="F37" s="31">
        <v>1.4</v>
      </c>
      <c r="G37" s="31">
        <v>0.0</v>
      </c>
      <c r="H37" s="24">
        <v>0.0</v>
      </c>
      <c r="I37" s="25">
        <f t="shared" si="1"/>
        <v>9.1</v>
      </c>
      <c r="J37" s="26">
        <f t="shared" si="31"/>
        <v>252.2861194</v>
      </c>
      <c r="K37" s="26" t="s">
        <v>51</v>
      </c>
      <c r="L37" s="26">
        <f t="shared" si="18"/>
        <v>97.485696</v>
      </c>
      <c r="M37" s="26">
        <f t="shared" si="3"/>
        <v>349.7718154</v>
      </c>
      <c r="N37" s="27">
        <v>340.0</v>
      </c>
      <c r="O37" s="27">
        <v>322.0</v>
      </c>
      <c r="P37" s="28">
        <v>116.0</v>
      </c>
      <c r="Q37" s="28">
        <v>70.0</v>
      </c>
      <c r="R37" s="25">
        <f t="shared" si="32"/>
        <v>88060.12916</v>
      </c>
      <c r="S37" s="25">
        <f t="shared" si="33"/>
        <v>105672.155</v>
      </c>
      <c r="T37" s="29">
        <f t="shared" si="4"/>
        <v>105.672155</v>
      </c>
    </row>
    <row r="38">
      <c r="A38" s="22" t="s">
        <v>62</v>
      </c>
      <c r="B38" s="23" t="s">
        <v>49</v>
      </c>
      <c r="C38" s="23">
        <v>3.02</v>
      </c>
      <c r="D38" s="23">
        <v>1.7</v>
      </c>
      <c r="E38" s="23">
        <v>2.52</v>
      </c>
      <c r="F38" s="23">
        <v>1.2</v>
      </c>
      <c r="G38" s="23">
        <v>1.2</v>
      </c>
      <c r="H38" s="24">
        <v>0.0</v>
      </c>
      <c r="I38" s="25">
        <f t="shared" si="1"/>
        <v>11.46</v>
      </c>
      <c r="J38" s="26">
        <f>(C38*C38*0.785*7*1.02*2.703*3)+(D38*D38*0.785*7*1.02*2.703)</f>
        <v>458.3070322</v>
      </c>
      <c r="K38" s="26">
        <f>(E38*E38*0.785*7*1.02*2.703)</f>
        <v>96.20884386</v>
      </c>
      <c r="L38" s="26">
        <f t="shared" si="18"/>
        <v>134.1287424</v>
      </c>
      <c r="M38" s="26">
        <f t="shared" si="3"/>
        <v>592.4357746</v>
      </c>
      <c r="N38" s="27">
        <v>340.0</v>
      </c>
      <c r="O38" s="27">
        <v>322.0</v>
      </c>
      <c r="P38" s="28">
        <v>116.0</v>
      </c>
      <c r="Q38" s="28">
        <v>70.0</v>
      </c>
      <c r="R38" s="25">
        <f>(J38*O38)+(K38*N38)+(L38*P38)</f>
        <v>195844.8054</v>
      </c>
      <c r="S38" s="25">
        <f>R38*1.15</f>
        <v>225221.5262</v>
      </c>
      <c r="T38" s="29">
        <f t="shared" si="4"/>
        <v>225.2215262</v>
      </c>
    </row>
    <row r="39">
      <c r="A39" s="30"/>
      <c r="B39" s="31" t="s">
        <v>50</v>
      </c>
      <c r="C39" s="31">
        <v>2.3</v>
      </c>
      <c r="D39" s="31">
        <v>1.5</v>
      </c>
      <c r="E39" s="31">
        <v>2.08</v>
      </c>
      <c r="F39" s="31">
        <v>1.3</v>
      </c>
      <c r="G39" s="31">
        <v>1.3</v>
      </c>
      <c r="H39" s="24">
        <v>0.0</v>
      </c>
      <c r="I39" s="25">
        <f t="shared" si="1"/>
        <v>9.5</v>
      </c>
      <c r="J39" s="26">
        <f t="shared" ref="J39:J41" si="34">(C39*C39*0.785*7*1.02*2.703*3)+(D39*D39*0.785*7*1.02*2.703)+(E39*E39*0.785*7*1.02*2.703)</f>
        <v>340.0639634</v>
      </c>
      <c r="K39" s="26" t="s">
        <v>51</v>
      </c>
      <c r="L39" s="26">
        <f t="shared" si="18"/>
        <v>119.129088</v>
      </c>
      <c r="M39" s="26">
        <f t="shared" si="3"/>
        <v>459.1930514</v>
      </c>
      <c r="N39" s="27">
        <v>340.0</v>
      </c>
      <c r="O39" s="27">
        <v>322.0</v>
      </c>
      <c r="P39" s="28">
        <v>116.0</v>
      </c>
      <c r="Q39" s="28">
        <v>70.0</v>
      </c>
      <c r="R39" s="25">
        <f t="shared" ref="R39:R41" si="35">(J39*O39)+(L39*Q39)</f>
        <v>117839.6324</v>
      </c>
      <c r="S39" s="25">
        <f t="shared" ref="S39:S41" si="36">R39*1.2</f>
        <v>141407.5588</v>
      </c>
      <c r="T39" s="29">
        <f t="shared" si="4"/>
        <v>141.4075588</v>
      </c>
    </row>
    <row r="40">
      <c r="A40" s="32"/>
      <c r="B40" s="23" t="s">
        <v>52</v>
      </c>
      <c r="C40" s="23">
        <v>2.2</v>
      </c>
      <c r="D40" s="23">
        <v>1.4</v>
      </c>
      <c r="E40" s="23">
        <v>1.9</v>
      </c>
      <c r="F40" s="23">
        <v>1.3</v>
      </c>
      <c r="G40" s="23">
        <v>1.3</v>
      </c>
      <c r="H40" s="24">
        <v>0.0</v>
      </c>
      <c r="I40" s="25">
        <f t="shared" si="1"/>
        <v>9.2</v>
      </c>
      <c r="J40" s="26">
        <f t="shared" si="34"/>
        <v>304.364398</v>
      </c>
      <c r="K40" s="26" t="s">
        <v>51</v>
      </c>
      <c r="L40" s="26">
        <f t="shared" si="18"/>
        <v>114.426624</v>
      </c>
      <c r="M40" s="26">
        <f t="shared" si="3"/>
        <v>418.791022</v>
      </c>
      <c r="N40" s="27">
        <v>340.0</v>
      </c>
      <c r="O40" s="27">
        <v>322.0</v>
      </c>
      <c r="P40" s="28">
        <v>116.0</v>
      </c>
      <c r="Q40" s="28">
        <v>70.0</v>
      </c>
      <c r="R40" s="25">
        <f t="shared" si="35"/>
        <v>106015.1998</v>
      </c>
      <c r="S40" s="25">
        <f t="shared" si="36"/>
        <v>127218.2398</v>
      </c>
      <c r="T40" s="29">
        <f t="shared" si="4"/>
        <v>127.2182398</v>
      </c>
    </row>
    <row r="41">
      <c r="A41" s="33"/>
      <c r="B41" s="31" t="s">
        <v>53</v>
      </c>
      <c r="C41" s="31">
        <v>2.1</v>
      </c>
      <c r="D41" s="31">
        <v>1.32</v>
      </c>
      <c r="E41" s="31">
        <v>1.85</v>
      </c>
      <c r="F41" s="31">
        <v>1.4</v>
      </c>
      <c r="G41" s="31">
        <v>1.4</v>
      </c>
      <c r="H41" s="24">
        <v>0.0</v>
      </c>
      <c r="I41" s="25">
        <f t="shared" si="1"/>
        <v>9.1</v>
      </c>
      <c r="J41" s="26">
        <f t="shared" si="34"/>
        <v>278.6835573</v>
      </c>
      <c r="K41" s="26" t="s">
        <v>51</v>
      </c>
      <c r="L41" s="26">
        <f t="shared" si="18"/>
        <v>120.1057536</v>
      </c>
      <c r="M41" s="26">
        <f t="shared" si="3"/>
        <v>398.7893109</v>
      </c>
      <c r="N41" s="27">
        <v>340.0</v>
      </c>
      <c r="O41" s="27">
        <v>322.0</v>
      </c>
      <c r="P41" s="28">
        <v>116.0</v>
      </c>
      <c r="Q41" s="28">
        <v>70.0</v>
      </c>
      <c r="R41" s="25">
        <f t="shared" si="35"/>
        <v>98143.50819</v>
      </c>
      <c r="S41" s="25">
        <f t="shared" si="36"/>
        <v>117772.2098</v>
      </c>
      <c r="T41" s="29">
        <f t="shared" si="4"/>
        <v>117.7722098</v>
      </c>
    </row>
    <row r="42" ht="18.0" customHeight="1">
      <c r="A42" s="22" t="s">
        <v>63</v>
      </c>
      <c r="B42" s="23" t="s">
        <v>49</v>
      </c>
      <c r="C42" s="23">
        <v>2.12</v>
      </c>
      <c r="D42" s="23">
        <v>0.0</v>
      </c>
      <c r="E42" s="23">
        <v>3.02</v>
      </c>
      <c r="F42" s="23">
        <v>1.5</v>
      </c>
      <c r="G42" s="23">
        <v>0.0</v>
      </c>
      <c r="H42" s="24">
        <v>0.0</v>
      </c>
      <c r="I42" s="34">
        <f t="shared" ref="I42:I69" si="37">(C42*5)+(F42*2)</f>
        <v>13.6</v>
      </c>
      <c r="J42" s="35">
        <f>(C42*C42*0.785*19*1.02*2.703*3)+(D42*D42*0.785*7*1.02*2.703)</f>
        <v>554.4500816</v>
      </c>
      <c r="K42" s="35">
        <f>(E42*E42*0.785*7*1.02*2.703)</f>
        <v>138.1744677</v>
      </c>
      <c r="L42" s="35">
        <f t="shared" ref="L42:L69" si="38">(((C42*5)+F42)*F42*0.96*3.14*3)+(((D42*3)+G42)*G42*0.96*3.14)+(((E42*3)+H42)*H42*0.96*3.14)</f>
        <v>164.13408</v>
      </c>
      <c r="M42" s="26">
        <f t="shared" si="3"/>
        <v>718.5841616</v>
      </c>
      <c r="N42" s="27">
        <v>340.0</v>
      </c>
      <c r="O42" s="27">
        <v>322.0</v>
      </c>
      <c r="P42" s="28">
        <v>116.0</v>
      </c>
      <c r="Q42" s="28">
        <v>70.0</v>
      </c>
      <c r="R42" s="25">
        <f>(J42*O42)+(K42*N42)+(L42*P42)</f>
        <v>244551.7986</v>
      </c>
      <c r="S42" s="25">
        <f>R42*1.15</f>
        <v>281234.5684</v>
      </c>
      <c r="T42" s="29">
        <f t="shared" si="4"/>
        <v>281.2345684</v>
      </c>
    </row>
    <row r="43">
      <c r="A43" s="30"/>
      <c r="B43" s="31" t="s">
        <v>50</v>
      </c>
      <c r="C43" s="31">
        <v>1.8</v>
      </c>
      <c r="D43" s="31">
        <v>0.0</v>
      </c>
      <c r="E43" s="31">
        <v>2.3</v>
      </c>
      <c r="F43" s="31">
        <v>1.6</v>
      </c>
      <c r="G43" s="31">
        <v>0.0</v>
      </c>
      <c r="H43" s="24">
        <v>0.0</v>
      </c>
      <c r="I43" s="25">
        <f t="shared" si="37"/>
        <v>12.2</v>
      </c>
      <c r="J43" s="36">
        <f t="shared" ref="J43:J45" si="39">(C43*C43*0.785*19*1.02*2.703*3)+(D43*D43*0.785*7*1.02*2.703)+(E43*E43*0.785*7*1.02*2.703)</f>
        <v>479.8452015</v>
      </c>
      <c r="K43" s="26" t="s">
        <v>51</v>
      </c>
      <c r="L43" s="26">
        <f t="shared" si="38"/>
        <v>153.372672</v>
      </c>
      <c r="M43" s="26">
        <f t="shared" si="3"/>
        <v>633.2178735</v>
      </c>
      <c r="N43" s="27">
        <v>340.0</v>
      </c>
      <c r="O43" s="27">
        <v>322.0</v>
      </c>
      <c r="P43" s="28">
        <v>116.0</v>
      </c>
      <c r="Q43" s="28">
        <v>70.0</v>
      </c>
      <c r="R43" s="25">
        <f t="shared" ref="R43:R45" si="40">(J43*O43)+(L43*Q43)</f>
        <v>165246.2419</v>
      </c>
      <c r="S43" s="25">
        <f t="shared" ref="S43:S45" si="41">R43*1.2</f>
        <v>198295.4903</v>
      </c>
      <c r="T43" s="29">
        <f t="shared" si="4"/>
        <v>198.2954903</v>
      </c>
    </row>
    <row r="44">
      <c r="A44" s="32"/>
      <c r="B44" s="23" t="s">
        <v>52</v>
      </c>
      <c r="C44" s="23">
        <v>1.6</v>
      </c>
      <c r="D44" s="23">
        <v>0.0</v>
      </c>
      <c r="E44" s="23">
        <v>2.2</v>
      </c>
      <c r="F44" s="23">
        <v>1.8</v>
      </c>
      <c r="G44" s="23">
        <v>0.0</v>
      </c>
      <c r="H44" s="24">
        <v>0.0</v>
      </c>
      <c r="I44" s="25">
        <f t="shared" si="37"/>
        <v>11.6</v>
      </c>
      <c r="J44" s="26">
        <f t="shared" si="39"/>
        <v>389.1397196</v>
      </c>
      <c r="K44" s="26" t="s">
        <v>51</v>
      </c>
      <c r="L44" s="26">
        <f t="shared" si="38"/>
        <v>159.522048</v>
      </c>
      <c r="M44" s="26">
        <f t="shared" si="3"/>
        <v>548.6617676</v>
      </c>
      <c r="N44" s="27">
        <v>340.0</v>
      </c>
      <c r="O44" s="27">
        <v>322.0</v>
      </c>
      <c r="P44" s="28">
        <v>116.0</v>
      </c>
      <c r="Q44" s="28">
        <v>70.0</v>
      </c>
      <c r="R44" s="25">
        <f t="shared" si="40"/>
        <v>136469.5331</v>
      </c>
      <c r="S44" s="25">
        <f t="shared" si="41"/>
        <v>163763.4397</v>
      </c>
      <c r="T44" s="29">
        <f t="shared" si="4"/>
        <v>163.7634397</v>
      </c>
    </row>
    <row r="45">
      <c r="A45" s="33"/>
      <c r="B45" s="31" t="s">
        <v>53</v>
      </c>
      <c r="C45" s="31">
        <v>1.5</v>
      </c>
      <c r="D45" s="31">
        <v>0.0</v>
      </c>
      <c r="E45" s="31">
        <v>2.1</v>
      </c>
      <c r="F45" s="31">
        <v>1.8</v>
      </c>
      <c r="G45" s="31">
        <v>0.0</v>
      </c>
      <c r="H45" s="24">
        <v>0.0</v>
      </c>
      <c r="I45" s="25">
        <f t="shared" si="37"/>
        <v>11.1</v>
      </c>
      <c r="J45" s="26">
        <f t="shared" si="39"/>
        <v>344.382159</v>
      </c>
      <c r="K45" s="26" t="s">
        <v>51</v>
      </c>
      <c r="L45" s="26">
        <f t="shared" si="38"/>
        <v>151.383168</v>
      </c>
      <c r="M45" s="26">
        <f t="shared" si="3"/>
        <v>495.765327</v>
      </c>
      <c r="N45" s="27">
        <v>340.0</v>
      </c>
      <c r="O45" s="27">
        <v>322.0</v>
      </c>
      <c r="P45" s="28">
        <v>116.0</v>
      </c>
      <c r="Q45" s="28">
        <v>70.0</v>
      </c>
      <c r="R45" s="25">
        <f t="shared" si="40"/>
        <v>121487.8769</v>
      </c>
      <c r="S45" s="25">
        <f t="shared" si="41"/>
        <v>145785.4523</v>
      </c>
      <c r="T45" s="29">
        <f t="shared" si="4"/>
        <v>145.7854523</v>
      </c>
    </row>
    <row r="46">
      <c r="A46" s="22" t="s">
        <v>64</v>
      </c>
      <c r="B46" s="23" t="s">
        <v>49</v>
      </c>
      <c r="C46" s="23">
        <v>2.12</v>
      </c>
      <c r="D46" s="23">
        <v>1.7</v>
      </c>
      <c r="E46" s="23">
        <v>3.02</v>
      </c>
      <c r="F46" s="23">
        <v>1.5</v>
      </c>
      <c r="G46" s="23">
        <v>1.2</v>
      </c>
      <c r="H46" s="24">
        <v>0.0</v>
      </c>
      <c r="I46" s="25">
        <f t="shared" si="37"/>
        <v>13.6</v>
      </c>
      <c r="J46" s="26">
        <f>(C46*C46*0.785*19*1.02*2.703*3)+(D46*D46*0.785*7*1.02*2.703)</f>
        <v>598.2337108</v>
      </c>
      <c r="K46" s="26">
        <f>(E46*E46*0.785*7*1.02*2.703)</f>
        <v>138.1744677</v>
      </c>
      <c r="L46" s="26">
        <f t="shared" si="38"/>
        <v>186.922944</v>
      </c>
      <c r="M46" s="26">
        <f t="shared" si="3"/>
        <v>785.1566548</v>
      </c>
      <c r="N46" s="27">
        <v>340.0</v>
      </c>
      <c r="O46" s="27">
        <v>322.0</v>
      </c>
      <c r="P46" s="28">
        <v>116.0</v>
      </c>
      <c r="Q46" s="28">
        <v>70.0</v>
      </c>
      <c r="R46" s="25">
        <f>(J46*O46)+(K46*N46)+(L46*P46)</f>
        <v>261293.6354</v>
      </c>
      <c r="S46" s="25">
        <f>R46*1.15</f>
        <v>300487.6807</v>
      </c>
      <c r="T46" s="29">
        <f t="shared" si="4"/>
        <v>300.4876807</v>
      </c>
    </row>
    <row r="47">
      <c r="A47" s="30"/>
      <c r="B47" s="31" t="s">
        <v>50</v>
      </c>
      <c r="C47" s="31">
        <v>1.8</v>
      </c>
      <c r="D47" s="31">
        <v>1.5</v>
      </c>
      <c r="E47" s="31">
        <v>2.3</v>
      </c>
      <c r="F47" s="31">
        <v>1.6</v>
      </c>
      <c r="G47" s="31">
        <v>1.3</v>
      </c>
      <c r="H47" s="24">
        <v>0.0</v>
      </c>
      <c r="I47" s="25">
        <f t="shared" si="37"/>
        <v>12.2</v>
      </c>
      <c r="J47" s="26">
        <f t="shared" ref="J47:J49" si="42">(C47*C47*0.785*19*1.02*2.703*3)+(D47*D47*0.785*7*1.02*2.703)+(E47*E47*0.785*7*1.02*2.703)</f>
        <v>513.9328021</v>
      </c>
      <c r="K47" s="26" t="s">
        <v>51</v>
      </c>
      <c r="L47" s="26">
        <f t="shared" si="38"/>
        <v>176.101248</v>
      </c>
      <c r="M47" s="26">
        <f t="shared" si="3"/>
        <v>690.0340501</v>
      </c>
      <c r="N47" s="27">
        <v>340.0</v>
      </c>
      <c r="O47" s="27">
        <v>322.0</v>
      </c>
      <c r="P47" s="28">
        <v>116.0</v>
      </c>
      <c r="Q47" s="28">
        <v>70.0</v>
      </c>
      <c r="R47" s="25">
        <f t="shared" ref="R47:R49" si="43">(J47*O47)+(L47*Q47)</f>
        <v>177813.4496</v>
      </c>
      <c r="S47" s="25">
        <f t="shared" ref="S47:S49" si="44">R47*1.2</f>
        <v>213376.1396</v>
      </c>
      <c r="T47" s="29">
        <f t="shared" si="4"/>
        <v>213.3761396</v>
      </c>
    </row>
    <row r="48">
      <c r="A48" s="32"/>
      <c r="B48" s="23" t="s">
        <v>52</v>
      </c>
      <c r="C48" s="23">
        <v>1.6</v>
      </c>
      <c r="D48" s="23">
        <v>1.4</v>
      </c>
      <c r="E48" s="23">
        <v>2.2</v>
      </c>
      <c r="F48" s="23">
        <v>1.8</v>
      </c>
      <c r="G48" s="23">
        <v>1.3</v>
      </c>
      <c r="H48" s="24">
        <v>0.0</v>
      </c>
      <c r="I48" s="25">
        <f t="shared" si="37"/>
        <v>11.6</v>
      </c>
      <c r="J48" s="26">
        <f t="shared" si="42"/>
        <v>418.8338072</v>
      </c>
      <c r="K48" s="26" t="s">
        <v>51</v>
      </c>
      <c r="L48" s="26">
        <f t="shared" si="38"/>
        <v>181.075008</v>
      </c>
      <c r="M48" s="26">
        <f t="shared" si="3"/>
        <v>599.9088152</v>
      </c>
      <c r="N48" s="27">
        <v>340.0</v>
      </c>
      <c r="O48" s="27">
        <v>322.0</v>
      </c>
      <c r="P48" s="28">
        <v>116.0</v>
      </c>
      <c r="Q48" s="28">
        <v>70.0</v>
      </c>
      <c r="R48" s="25">
        <f t="shared" si="43"/>
        <v>147539.7365</v>
      </c>
      <c r="S48" s="25">
        <f t="shared" si="44"/>
        <v>177047.6838</v>
      </c>
      <c r="T48" s="29">
        <f t="shared" si="4"/>
        <v>177.0476838</v>
      </c>
    </row>
    <row r="49">
      <c r="A49" s="33"/>
      <c r="B49" s="31" t="s">
        <v>53</v>
      </c>
      <c r="C49" s="31">
        <v>1.5</v>
      </c>
      <c r="D49" s="31">
        <v>1.32</v>
      </c>
      <c r="E49" s="31">
        <v>2.1</v>
      </c>
      <c r="F49" s="31">
        <v>1.8</v>
      </c>
      <c r="G49" s="31">
        <v>1.4</v>
      </c>
      <c r="H49" s="24">
        <v>0.0</v>
      </c>
      <c r="I49" s="25">
        <f t="shared" si="37"/>
        <v>11.1</v>
      </c>
      <c r="J49" s="26">
        <f t="shared" si="42"/>
        <v>370.7795968</v>
      </c>
      <c r="K49" s="26" t="s">
        <v>51</v>
      </c>
      <c r="L49" s="26">
        <f t="shared" si="38"/>
        <v>174.0032256</v>
      </c>
      <c r="M49" s="26">
        <f t="shared" si="3"/>
        <v>544.7828224</v>
      </c>
      <c r="N49" s="27">
        <v>340.0</v>
      </c>
      <c r="O49" s="27">
        <v>322.0</v>
      </c>
      <c r="P49" s="28">
        <v>116.0</v>
      </c>
      <c r="Q49" s="28">
        <v>70.0</v>
      </c>
      <c r="R49" s="25">
        <f t="shared" si="43"/>
        <v>131571.256</v>
      </c>
      <c r="S49" s="25">
        <f t="shared" si="44"/>
        <v>157885.5072</v>
      </c>
      <c r="T49" s="29">
        <f t="shared" si="4"/>
        <v>157.8855072</v>
      </c>
    </row>
    <row r="50" ht="18.0" customHeight="1">
      <c r="A50" s="22" t="s">
        <v>65</v>
      </c>
      <c r="B50" s="23" t="s">
        <v>49</v>
      </c>
      <c r="C50" s="23">
        <v>2.52</v>
      </c>
      <c r="D50" s="23">
        <v>0.0</v>
      </c>
      <c r="E50" s="23">
        <v>3.02</v>
      </c>
      <c r="F50" s="23">
        <v>1.5</v>
      </c>
      <c r="G50" s="23">
        <v>0.0</v>
      </c>
      <c r="H50" s="24">
        <v>0.0</v>
      </c>
      <c r="I50" s="37">
        <f t="shared" si="37"/>
        <v>15.6</v>
      </c>
      <c r="J50" s="26">
        <f>(C50*C50*0.785*19*1.02*2.703*3)+(D50*D50*0.785*7*1.02*2.703)</f>
        <v>783.4148715</v>
      </c>
      <c r="K50" s="26">
        <f>(E50*E50*0.785*7*1.02*2.703)</f>
        <v>138.1744677</v>
      </c>
      <c r="L50" s="38">
        <f t="shared" si="38"/>
        <v>191.26368</v>
      </c>
      <c r="M50" s="26">
        <f t="shared" si="3"/>
        <v>974.6785515</v>
      </c>
      <c r="N50" s="27">
        <v>340.0</v>
      </c>
      <c r="O50" s="27">
        <v>322.0</v>
      </c>
      <c r="P50" s="28">
        <v>116.0</v>
      </c>
      <c r="Q50" s="28">
        <v>70.0</v>
      </c>
      <c r="R50" s="25">
        <f>(J50*O50)+(K50*N50)+(L50*P50)</f>
        <v>321425.4945</v>
      </c>
      <c r="S50" s="25">
        <f>R50*1.15</f>
        <v>369639.3187</v>
      </c>
      <c r="T50" s="29">
        <f t="shared" si="4"/>
        <v>369.6393187</v>
      </c>
    </row>
    <row r="51">
      <c r="A51" s="30"/>
      <c r="B51" s="31" t="s">
        <v>50</v>
      </c>
      <c r="C51" s="31">
        <v>2.2</v>
      </c>
      <c r="D51" s="31">
        <v>0.0</v>
      </c>
      <c r="E51" s="31">
        <v>2.3</v>
      </c>
      <c r="F51" s="31">
        <v>1.6</v>
      </c>
      <c r="G51" s="31">
        <v>0.0</v>
      </c>
      <c r="H51" s="24">
        <v>0.0</v>
      </c>
      <c r="I51" s="25">
        <f t="shared" si="37"/>
        <v>14.2</v>
      </c>
      <c r="J51" s="36">
        <f t="shared" ref="J51:J53" si="45">(C51*C51*0.785*19*1.02*2.703*3)+(D51*D51*0.785*7*1.02*2.703)+(E51*E51*0.785*7*1.02*2.703)</f>
        <v>677.228641</v>
      </c>
      <c r="K51" s="26" t="s">
        <v>51</v>
      </c>
      <c r="L51" s="26">
        <f t="shared" si="38"/>
        <v>182.310912</v>
      </c>
      <c r="M51" s="26">
        <f t="shared" si="3"/>
        <v>859.539553</v>
      </c>
      <c r="N51" s="27">
        <v>340.0</v>
      </c>
      <c r="O51" s="27">
        <v>322.0</v>
      </c>
      <c r="P51" s="28">
        <v>116.0</v>
      </c>
      <c r="Q51" s="28">
        <v>70.0</v>
      </c>
      <c r="R51" s="25">
        <f t="shared" ref="R51:R53" si="46">(J51*O51)+(L51*Q51)</f>
        <v>230829.3862</v>
      </c>
      <c r="S51" s="25">
        <f t="shared" ref="S51:S53" si="47">R51*1.2</f>
        <v>276995.2635</v>
      </c>
      <c r="T51" s="29">
        <f t="shared" si="4"/>
        <v>276.9952635</v>
      </c>
    </row>
    <row r="52">
      <c r="A52" s="32"/>
      <c r="B52" s="23" t="s">
        <v>52</v>
      </c>
      <c r="C52" s="23">
        <v>2.1</v>
      </c>
      <c r="D52" s="23">
        <v>0.0</v>
      </c>
      <c r="E52" s="23">
        <v>2.2</v>
      </c>
      <c r="F52" s="23">
        <v>1.8</v>
      </c>
      <c r="G52" s="23">
        <v>0.0</v>
      </c>
      <c r="H52" s="24">
        <v>0.0</v>
      </c>
      <c r="I52" s="25">
        <f t="shared" si="37"/>
        <v>14.1</v>
      </c>
      <c r="J52" s="26">
        <f t="shared" si="45"/>
        <v>617.3643215</v>
      </c>
      <c r="K52" s="26" t="s">
        <v>51</v>
      </c>
      <c r="L52" s="26">
        <f t="shared" si="38"/>
        <v>200.216448</v>
      </c>
      <c r="M52" s="26">
        <f t="shared" si="3"/>
        <v>817.5807695</v>
      </c>
      <c r="N52" s="27">
        <v>340.0</v>
      </c>
      <c r="O52" s="27">
        <v>322.0</v>
      </c>
      <c r="P52" s="28">
        <v>116.0</v>
      </c>
      <c r="Q52" s="28">
        <v>70.0</v>
      </c>
      <c r="R52" s="25">
        <f t="shared" si="46"/>
        <v>212806.4629</v>
      </c>
      <c r="S52" s="25">
        <f t="shared" si="47"/>
        <v>255367.7555</v>
      </c>
      <c r="T52" s="29">
        <f t="shared" si="4"/>
        <v>255.3677555</v>
      </c>
    </row>
    <row r="53">
      <c r="A53" s="33"/>
      <c r="B53" s="31" t="s">
        <v>53</v>
      </c>
      <c r="C53" s="31">
        <v>2.0</v>
      </c>
      <c r="D53" s="31">
        <v>0.0</v>
      </c>
      <c r="E53" s="31">
        <v>2.1</v>
      </c>
      <c r="F53" s="31">
        <v>1.8</v>
      </c>
      <c r="G53" s="31">
        <v>0.0</v>
      </c>
      <c r="H53" s="24">
        <v>0.0</v>
      </c>
      <c r="I53" s="25">
        <f t="shared" si="37"/>
        <v>13.6</v>
      </c>
      <c r="J53" s="26">
        <f t="shared" si="45"/>
        <v>560.2702959</v>
      </c>
      <c r="K53" s="26" t="s">
        <v>51</v>
      </c>
      <c r="L53" s="26">
        <f t="shared" si="38"/>
        <v>192.077568</v>
      </c>
      <c r="M53" s="26">
        <f t="shared" si="3"/>
        <v>752.3478639</v>
      </c>
      <c r="N53" s="27">
        <v>340.0</v>
      </c>
      <c r="O53" s="27">
        <v>322.0</v>
      </c>
      <c r="P53" s="28">
        <v>116.0</v>
      </c>
      <c r="Q53" s="28">
        <v>70.0</v>
      </c>
      <c r="R53" s="25">
        <f t="shared" si="46"/>
        <v>193852.465</v>
      </c>
      <c r="S53" s="25">
        <f t="shared" si="47"/>
        <v>232622.9581</v>
      </c>
      <c r="T53" s="29">
        <f t="shared" si="4"/>
        <v>232.6229581</v>
      </c>
    </row>
    <row r="54">
      <c r="A54" s="22" t="s">
        <v>66</v>
      </c>
      <c r="B54" s="23" t="s">
        <v>49</v>
      </c>
      <c r="C54" s="23">
        <v>2.52</v>
      </c>
      <c r="D54" s="23">
        <v>1.7</v>
      </c>
      <c r="E54" s="23">
        <v>3.02</v>
      </c>
      <c r="F54" s="23">
        <v>1.5</v>
      </c>
      <c r="G54" s="23">
        <v>1.2</v>
      </c>
      <c r="H54" s="24">
        <v>0.0</v>
      </c>
      <c r="I54" s="25">
        <f t="shared" si="37"/>
        <v>15.6</v>
      </c>
      <c r="J54" s="26">
        <f>(C54*C54*0.785*19*1.02*2.703*3)+(D54*D54*0.785*7*1.02*2.703)</f>
        <v>827.1985006</v>
      </c>
      <c r="K54" s="26">
        <f>(E54*E54*0.785*7*1.02*2.703)</f>
        <v>138.1744677</v>
      </c>
      <c r="L54" s="26">
        <f t="shared" si="38"/>
        <v>214.052544</v>
      </c>
      <c r="M54" s="26">
        <f t="shared" si="3"/>
        <v>1041.251045</v>
      </c>
      <c r="N54" s="27">
        <v>340.0</v>
      </c>
      <c r="O54" s="27">
        <v>322.0</v>
      </c>
      <c r="P54" s="28">
        <v>116.0</v>
      </c>
      <c r="Q54" s="28">
        <v>70.0</v>
      </c>
      <c r="R54" s="25">
        <f>(J54*O54)+(K54*N54)+(L54*P54)</f>
        <v>338167.3313</v>
      </c>
      <c r="S54" s="25">
        <f>R54*1.15</f>
        <v>388892.431</v>
      </c>
      <c r="T54" s="29">
        <f t="shared" si="4"/>
        <v>388.892431</v>
      </c>
    </row>
    <row r="55">
      <c r="A55" s="30"/>
      <c r="B55" s="31" t="s">
        <v>50</v>
      </c>
      <c r="C55" s="31">
        <v>2.2</v>
      </c>
      <c r="D55" s="31">
        <v>1.5</v>
      </c>
      <c r="E55" s="31">
        <v>2.3</v>
      </c>
      <c r="F55" s="31">
        <v>1.6</v>
      </c>
      <c r="G55" s="31">
        <v>1.3</v>
      </c>
      <c r="H55" s="24">
        <v>0.0</v>
      </c>
      <c r="I55" s="25">
        <f t="shared" si="37"/>
        <v>14.2</v>
      </c>
      <c r="J55" s="26">
        <f t="shared" ref="J55:J57" si="48">(C55*C55*0.785*19*1.02*2.703*3)+(D55*D55*0.785*7*1.02*2.703)+(E55*E55*0.785*7*1.02*2.703)</f>
        <v>711.3162416</v>
      </c>
      <c r="K55" s="26" t="s">
        <v>51</v>
      </c>
      <c r="L55" s="26">
        <f t="shared" si="38"/>
        <v>205.039488</v>
      </c>
      <c r="M55" s="26">
        <f t="shared" si="3"/>
        <v>916.3557296</v>
      </c>
      <c r="N55" s="27">
        <v>340.0</v>
      </c>
      <c r="O55" s="27">
        <v>322.0</v>
      </c>
      <c r="P55" s="28">
        <v>116.0</v>
      </c>
      <c r="Q55" s="28">
        <v>70.0</v>
      </c>
      <c r="R55" s="25">
        <f t="shared" ref="R55:R57" si="49">(J55*O55)+(L55*Q55)</f>
        <v>243396.594</v>
      </c>
      <c r="S55" s="25">
        <f t="shared" ref="S55:S57" si="50">R55*1.2</f>
        <v>292075.9127</v>
      </c>
      <c r="T55" s="29">
        <f t="shared" si="4"/>
        <v>292.0759127</v>
      </c>
    </row>
    <row r="56">
      <c r="A56" s="32"/>
      <c r="B56" s="23" t="s">
        <v>52</v>
      </c>
      <c r="C56" s="23">
        <v>2.1</v>
      </c>
      <c r="D56" s="23">
        <v>1.4</v>
      </c>
      <c r="E56" s="23">
        <v>2.2</v>
      </c>
      <c r="F56" s="23">
        <v>1.8</v>
      </c>
      <c r="G56" s="23">
        <v>1.3</v>
      </c>
      <c r="H56" s="24">
        <v>0.0</v>
      </c>
      <c r="I56" s="25">
        <f t="shared" si="37"/>
        <v>14.1</v>
      </c>
      <c r="J56" s="26">
        <f t="shared" si="48"/>
        <v>647.0584091</v>
      </c>
      <c r="K56" s="26" t="s">
        <v>51</v>
      </c>
      <c r="L56" s="26">
        <f t="shared" si="38"/>
        <v>221.769408</v>
      </c>
      <c r="M56" s="26">
        <f t="shared" si="3"/>
        <v>868.8278171</v>
      </c>
      <c r="N56" s="27">
        <v>340.0</v>
      </c>
      <c r="O56" s="27">
        <v>322.0</v>
      </c>
      <c r="P56" s="28">
        <v>116.0</v>
      </c>
      <c r="Q56" s="28">
        <v>70.0</v>
      </c>
      <c r="R56" s="25">
        <f t="shared" si="49"/>
        <v>223876.6663</v>
      </c>
      <c r="S56" s="25">
        <f t="shared" si="50"/>
        <v>268651.9996</v>
      </c>
      <c r="T56" s="29">
        <f t="shared" si="4"/>
        <v>268.6519996</v>
      </c>
    </row>
    <row r="57">
      <c r="A57" s="33"/>
      <c r="B57" s="31" t="s">
        <v>53</v>
      </c>
      <c r="C57" s="31">
        <v>2.0</v>
      </c>
      <c r="D57" s="31">
        <v>1.32</v>
      </c>
      <c r="E57" s="31">
        <v>2.1</v>
      </c>
      <c r="F57" s="31">
        <v>1.8</v>
      </c>
      <c r="G57" s="31">
        <v>1.4</v>
      </c>
      <c r="H57" s="24">
        <v>0.0</v>
      </c>
      <c r="I57" s="25">
        <f t="shared" si="37"/>
        <v>13.6</v>
      </c>
      <c r="J57" s="26">
        <f t="shared" si="48"/>
        <v>586.6677338</v>
      </c>
      <c r="K57" s="26" t="s">
        <v>51</v>
      </c>
      <c r="L57" s="26">
        <f t="shared" si="38"/>
        <v>214.6976256</v>
      </c>
      <c r="M57" s="26">
        <f t="shared" si="3"/>
        <v>801.3653594</v>
      </c>
      <c r="N57" s="27">
        <v>340.0</v>
      </c>
      <c r="O57" s="27">
        <v>322.0</v>
      </c>
      <c r="P57" s="28">
        <v>116.0</v>
      </c>
      <c r="Q57" s="28">
        <v>70.0</v>
      </c>
      <c r="R57" s="25">
        <f t="shared" si="49"/>
        <v>203935.8441</v>
      </c>
      <c r="S57" s="25">
        <f t="shared" si="50"/>
        <v>244723.0129</v>
      </c>
      <c r="T57" s="29">
        <f t="shared" si="4"/>
        <v>244.7230129</v>
      </c>
    </row>
    <row r="58" ht="18.0" customHeight="1">
      <c r="A58" s="22" t="s">
        <v>67</v>
      </c>
      <c r="B58" s="23" t="s">
        <v>49</v>
      </c>
      <c r="C58" s="23">
        <v>2.52</v>
      </c>
      <c r="D58" s="23">
        <v>0.0</v>
      </c>
      <c r="E58" s="23">
        <v>3.56</v>
      </c>
      <c r="F58" s="23">
        <v>1.5</v>
      </c>
      <c r="G58" s="23">
        <v>0.0</v>
      </c>
      <c r="H58" s="24">
        <v>0.0</v>
      </c>
      <c r="I58" s="37">
        <f t="shared" si="37"/>
        <v>15.6</v>
      </c>
      <c r="J58" s="26">
        <f>(C58*C58*0.785*19*1.02*2.703*3)+(D58*D58*0.785*7*1.02*2.703)</f>
        <v>783.4148715</v>
      </c>
      <c r="K58" s="26">
        <f>(E58*E58*0.785*7*1.02*2.703)</f>
        <v>192.0056065</v>
      </c>
      <c r="L58" s="36">
        <f t="shared" si="38"/>
        <v>191.26368</v>
      </c>
      <c r="M58" s="26">
        <f t="shared" si="3"/>
        <v>974.6785515</v>
      </c>
      <c r="N58" s="27">
        <v>340.0</v>
      </c>
      <c r="O58" s="27">
        <v>322.0</v>
      </c>
      <c r="P58" s="28">
        <v>116.0</v>
      </c>
      <c r="Q58" s="28">
        <v>70.0</v>
      </c>
      <c r="R58" s="25">
        <f>(J58*O58)+(K58*N58)+(L58*P58)</f>
        <v>339728.0817</v>
      </c>
      <c r="S58" s="25">
        <f>R58*1.15</f>
        <v>390687.294</v>
      </c>
      <c r="T58" s="29">
        <f t="shared" si="4"/>
        <v>390.687294</v>
      </c>
    </row>
    <row r="59">
      <c r="A59" s="30"/>
      <c r="B59" s="31" t="s">
        <v>50</v>
      </c>
      <c r="C59" s="31">
        <v>2.2</v>
      </c>
      <c r="D59" s="31">
        <v>0.0</v>
      </c>
      <c r="E59" s="31">
        <v>3.0</v>
      </c>
      <c r="F59" s="31">
        <v>1.6</v>
      </c>
      <c r="G59" s="31">
        <v>0.0</v>
      </c>
      <c r="H59" s="24">
        <v>0.0</v>
      </c>
      <c r="I59" s="25">
        <f t="shared" si="37"/>
        <v>14.2</v>
      </c>
      <c r="J59" s="36">
        <f t="shared" ref="J59:J61" si="51">(C59*C59*0.785*19*1.02*2.703*3)+(D59*D59*0.785*7*1.02*2.703)+(E59*E59*0.785*7*1.02*2.703)</f>
        <v>733.4353068</v>
      </c>
      <c r="K59" s="26" t="s">
        <v>51</v>
      </c>
      <c r="L59" s="26">
        <f t="shared" si="38"/>
        <v>182.310912</v>
      </c>
      <c r="M59" s="26">
        <f t="shared" si="3"/>
        <v>915.7462188</v>
      </c>
      <c r="N59" s="27">
        <v>340.0</v>
      </c>
      <c r="O59" s="27">
        <v>322.0</v>
      </c>
      <c r="P59" s="28">
        <v>116.0</v>
      </c>
      <c r="Q59" s="28">
        <v>70.0</v>
      </c>
      <c r="R59" s="25">
        <f t="shared" ref="R59:R61" si="52">(J59*O59)+(L59*Q59)</f>
        <v>248927.9326</v>
      </c>
      <c r="S59" s="25">
        <f t="shared" ref="S59:S61" si="53">R59*1.2</f>
        <v>298713.5192</v>
      </c>
      <c r="T59" s="29">
        <f t="shared" si="4"/>
        <v>298.7135192</v>
      </c>
    </row>
    <row r="60">
      <c r="A60" s="32"/>
      <c r="B60" s="23" t="s">
        <v>52</v>
      </c>
      <c r="C60" s="23">
        <v>2.1</v>
      </c>
      <c r="D60" s="23">
        <v>0.0</v>
      </c>
      <c r="E60" s="23">
        <v>2.5</v>
      </c>
      <c r="F60" s="23">
        <v>1.8</v>
      </c>
      <c r="G60" s="23">
        <v>0.0</v>
      </c>
      <c r="H60" s="24">
        <v>0.0</v>
      </c>
      <c r="I60" s="25">
        <f t="shared" si="37"/>
        <v>14.1</v>
      </c>
      <c r="J60" s="26">
        <f t="shared" si="51"/>
        <v>638.7258846</v>
      </c>
      <c r="K60" s="26" t="s">
        <v>51</v>
      </c>
      <c r="L60" s="26">
        <f t="shared" si="38"/>
        <v>200.216448</v>
      </c>
      <c r="M60" s="26">
        <f t="shared" si="3"/>
        <v>838.9423326</v>
      </c>
      <c r="N60" s="27">
        <v>340.0</v>
      </c>
      <c r="O60" s="27">
        <v>322.0</v>
      </c>
      <c r="P60" s="28">
        <v>116.0</v>
      </c>
      <c r="Q60" s="28">
        <v>70.0</v>
      </c>
      <c r="R60" s="25">
        <f t="shared" si="52"/>
        <v>219684.8862</v>
      </c>
      <c r="S60" s="25">
        <f t="shared" si="53"/>
        <v>263621.8634</v>
      </c>
      <c r="T60" s="29">
        <f t="shared" si="4"/>
        <v>263.6218634</v>
      </c>
    </row>
    <row r="61">
      <c r="A61" s="33"/>
      <c r="B61" s="31" t="s">
        <v>53</v>
      </c>
      <c r="C61" s="31">
        <v>2.0</v>
      </c>
      <c r="D61" s="31">
        <v>0.0</v>
      </c>
      <c r="E61" s="31">
        <v>2.2</v>
      </c>
      <c r="F61" s="31">
        <v>1.8</v>
      </c>
      <c r="G61" s="31">
        <v>0.0</v>
      </c>
      <c r="H61" s="24">
        <v>0.0</v>
      </c>
      <c r="I61" s="25">
        <f t="shared" si="37"/>
        <v>13.6</v>
      </c>
      <c r="J61" s="26">
        <f t="shared" si="51"/>
        <v>566.7848151</v>
      </c>
      <c r="K61" s="26" t="s">
        <v>51</v>
      </c>
      <c r="L61" s="26">
        <f t="shared" si="38"/>
        <v>192.077568</v>
      </c>
      <c r="M61" s="26">
        <f t="shared" si="3"/>
        <v>758.8623831</v>
      </c>
      <c r="N61" s="27">
        <v>340.0</v>
      </c>
      <c r="O61" s="27">
        <v>322.0</v>
      </c>
      <c r="P61" s="28">
        <v>116.0</v>
      </c>
      <c r="Q61" s="28">
        <v>70.0</v>
      </c>
      <c r="R61" s="25">
        <f t="shared" si="52"/>
        <v>195950.1402</v>
      </c>
      <c r="S61" s="25">
        <f t="shared" si="53"/>
        <v>235140.1683</v>
      </c>
      <c r="T61" s="29">
        <f t="shared" si="4"/>
        <v>235.1401683</v>
      </c>
    </row>
    <row r="62">
      <c r="A62" s="22" t="s">
        <v>68</v>
      </c>
      <c r="B62" s="23" t="s">
        <v>49</v>
      </c>
      <c r="C62" s="23">
        <v>2.52</v>
      </c>
      <c r="D62" s="23">
        <v>1.7</v>
      </c>
      <c r="E62" s="23">
        <v>3.56</v>
      </c>
      <c r="F62" s="23">
        <v>1.5</v>
      </c>
      <c r="G62" s="23">
        <v>1.2</v>
      </c>
      <c r="H62" s="24">
        <v>0.0</v>
      </c>
      <c r="I62" s="25">
        <f t="shared" si="37"/>
        <v>15.6</v>
      </c>
      <c r="J62" s="26">
        <f>(C62*C62*0.785*19*1.02*2.703*3)+(D62*D62*0.785*7*1.02*2.703)</f>
        <v>827.1985006</v>
      </c>
      <c r="K62" s="26">
        <f>(E62*E62*0.785*7*1.02*2.703)</f>
        <v>192.0056065</v>
      </c>
      <c r="L62" s="26">
        <f t="shared" si="38"/>
        <v>214.052544</v>
      </c>
      <c r="M62" s="26">
        <f t="shared" si="3"/>
        <v>1041.251045</v>
      </c>
      <c r="N62" s="27">
        <v>340.0</v>
      </c>
      <c r="O62" s="27">
        <v>322.0</v>
      </c>
      <c r="P62" s="28">
        <v>116.0</v>
      </c>
      <c r="Q62" s="28">
        <v>70.0</v>
      </c>
      <c r="R62" s="25">
        <f>(J62*O62)+(K62*N62)+(L62*P62)</f>
        <v>356469.9185</v>
      </c>
      <c r="S62" s="25">
        <f>R62*1.15</f>
        <v>409940.4063</v>
      </c>
      <c r="T62" s="29">
        <f t="shared" si="4"/>
        <v>409.9404063</v>
      </c>
    </row>
    <row r="63">
      <c r="A63" s="30"/>
      <c r="B63" s="31" t="s">
        <v>50</v>
      </c>
      <c r="C63" s="31">
        <v>2.2</v>
      </c>
      <c r="D63" s="31">
        <v>1.5</v>
      </c>
      <c r="E63" s="31">
        <v>3.0</v>
      </c>
      <c r="F63" s="31">
        <v>1.6</v>
      </c>
      <c r="G63" s="31">
        <v>1.3</v>
      </c>
      <c r="H63" s="24">
        <v>0.0</v>
      </c>
      <c r="I63" s="25">
        <f t="shared" si="37"/>
        <v>14.2</v>
      </c>
      <c r="J63" s="26">
        <f t="shared" ref="J63:J65" si="54">(C63*C63*0.785*19*1.02*2.703*3)+(D63*D63*0.785*7*1.02*2.703)+(E63*E63*0.785*7*1.02*2.703)</f>
        <v>767.5229074</v>
      </c>
      <c r="K63" s="26" t="s">
        <v>51</v>
      </c>
      <c r="L63" s="26">
        <f t="shared" si="38"/>
        <v>205.039488</v>
      </c>
      <c r="M63" s="26">
        <f t="shared" si="3"/>
        <v>972.5623954</v>
      </c>
      <c r="N63" s="27">
        <v>340.0</v>
      </c>
      <c r="O63" s="27">
        <v>322.0</v>
      </c>
      <c r="P63" s="28">
        <v>116.0</v>
      </c>
      <c r="Q63" s="28">
        <v>70.0</v>
      </c>
      <c r="R63" s="25">
        <f t="shared" ref="R63:R65" si="55">(J63*O63)+(L63*Q63)</f>
        <v>261495.1404</v>
      </c>
      <c r="S63" s="25">
        <f t="shared" ref="S63:S65" si="56">R63*1.2</f>
        <v>313794.1684</v>
      </c>
      <c r="T63" s="29">
        <f t="shared" si="4"/>
        <v>313.7941684</v>
      </c>
    </row>
    <row r="64">
      <c r="A64" s="32"/>
      <c r="B64" s="23" t="s">
        <v>52</v>
      </c>
      <c r="C64" s="23">
        <v>2.1</v>
      </c>
      <c r="D64" s="23">
        <v>1.4</v>
      </c>
      <c r="E64" s="23">
        <v>2.5</v>
      </c>
      <c r="F64" s="23">
        <v>1.8</v>
      </c>
      <c r="G64" s="23">
        <v>1.3</v>
      </c>
      <c r="H64" s="24">
        <v>0.0</v>
      </c>
      <c r="I64" s="25">
        <f t="shared" si="37"/>
        <v>14.1</v>
      </c>
      <c r="J64" s="26">
        <f t="shared" si="54"/>
        <v>668.4199722</v>
      </c>
      <c r="K64" s="26" t="s">
        <v>51</v>
      </c>
      <c r="L64" s="26">
        <f t="shared" si="38"/>
        <v>221.769408</v>
      </c>
      <c r="M64" s="26">
        <f t="shared" si="3"/>
        <v>890.1893802</v>
      </c>
      <c r="N64" s="27">
        <v>340.0</v>
      </c>
      <c r="O64" s="27">
        <v>322.0</v>
      </c>
      <c r="P64" s="28">
        <v>116.0</v>
      </c>
      <c r="Q64" s="28">
        <v>70.0</v>
      </c>
      <c r="R64" s="25">
        <f t="shared" si="55"/>
        <v>230755.0896</v>
      </c>
      <c r="S64" s="25">
        <f t="shared" si="56"/>
        <v>276906.1075</v>
      </c>
      <c r="T64" s="29">
        <f t="shared" si="4"/>
        <v>276.9061075</v>
      </c>
    </row>
    <row r="65">
      <c r="A65" s="33"/>
      <c r="B65" s="31" t="s">
        <v>53</v>
      </c>
      <c r="C65" s="31">
        <v>2.0</v>
      </c>
      <c r="D65" s="31">
        <v>1.32</v>
      </c>
      <c r="E65" s="31">
        <v>2.2</v>
      </c>
      <c r="F65" s="31">
        <v>1.8</v>
      </c>
      <c r="G65" s="31">
        <v>1.4</v>
      </c>
      <c r="H65" s="24">
        <v>0.0</v>
      </c>
      <c r="I65" s="25">
        <f t="shared" si="37"/>
        <v>13.6</v>
      </c>
      <c r="J65" s="26">
        <f t="shared" si="54"/>
        <v>593.182253</v>
      </c>
      <c r="K65" s="26" t="s">
        <v>51</v>
      </c>
      <c r="L65" s="26">
        <f t="shared" si="38"/>
        <v>214.6976256</v>
      </c>
      <c r="M65" s="26">
        <f t="shared" si="3"/>
        <v>807.8798786</v>
      </c>
      <c r="N65" s="27">
        <v>340.0</v>
      </c>
      <c r="O65" s="27">
        <v>322.0</v>
      </c>
      <c r="P65" s="28">
        <v>116.0</v>
      </c>
      <c r="Q65" s="28">
        <v>70.0</v>
      </c>
      <c r="R65" s="25">
        <f t="shared" si="55"/>
        <v>206033.5193</v>
      </c>
      <c r="S65" s="25">
        <f t="shared" si="56"/>
        <v>247240.2231</v>
      </c>
      <c r="T65" s="29">
        <f t="shared" si="4"/>
        <v>247.2402231</v>
      </c>
    </row>
    <row r="66">
      <c r="A66" s="22" t="s">
        <v>69</v>
      </c>
      <c r="B66" s="23" t="s">
        <v>49</v>
      </c>
      <c r="C66" s="23">
        <v>2.8</v>
      </c>
      <c r="D66" s="23">
        <v>1.7</v>
      </c>
      <c r="E66" s="23">
        <v>3.57</v>
      </c>
      <c r="F66" s="23">
        <v>1.6</v>
      </c>
      <c r="G66" s="23">
        <v>1.2</v>
      </c>
      <c r="H66" s="24">
        <v>0.0</v>
      </c>
      <c r="I66" s="25">
        <f t="shared" si="37"/>
        <v>17.2</v>
      </c>
      <c r="J66" s="26">
        <f>(C66*C66*0.785*19*1.02*2.703*3)+(D66*D66*0.785*7*1.02*2.703)</f>
        <v>1010.962483</v>
      </c>
      <c r="K66" s="26">
        <f>(E66*E66*0.785*7*1.02*2.703)</f>
        <v>193.0858047</v>
      </c>
      <c r="L66" s="26">
        <f t="shared" si="38"/>
        <v>248.507136</v>
      </c>
      <c r="M66" s="26">
        <f t="shared" si="3"/>
        <v>1259.469619</v>
      </c>
      <c r="N66" s="27">
        <v>340.0</v>
      </c>
      <c r="O66" s="27">
        <v>322.0</v>
      </c>
      <c r="P66" s="28">
        <v>116.0</v>
      </c>
      <c r="Q66" s="28">
        <v>70.0</v>
      </c>
      <c r="R66" s="25">
        <f>(J66*O66)+(K66*N66)+(L66*P66)</f>
        <v>420005.9208</v>
      </c>
      <c r="S66" s="25">
        <f>R66*1.15</f>
        <v>483006.809</v>
      </c>
      <c r="T66" s="29">
        <f t="shared" si="4"/>
        <v>483.006809</v>
      </c>
    </row>
    <row r="67">
      <c r="A67" s="30"/>
      <c r="B67" s="31" t="s">
        <v>50</v>
      </c>
      <c r="C67" s="31">
        <v>2.3</v>
      </c>
      <c r="D67" s="31">
        <v>1.5</v>
      </c>
      <c r="E67" s="31">
        <v>2.4</v>
      </c>
      <c r="F67" s="31">
        <v>1.8</v>
      </c>
      <c r="G67" s="31">
        <v>1.3</v>
      </c>
      <c r="H67" s="24">
        <v>0.0</v>
      </c>
      <c r="I67" s="25">
        <f t="shared" si="37"/>
        <v>15.1</v>
      </c>
      <c r="J67" s="26">
        <f t="shared" ref="J67:J69" si="57">(C67*C67*0.785*19*1.02*2.703*3)+(D67*D67*0.785*7*1.02*2.703)+(E67*E67*0.785*7*1.02*2.703)</f>
        <v>773.950855</v>
      </c>
      <c r="K67" s="26" t="s">
        <v>51</v>
      </c>
      <c r="L67" s="26">
        <f t="shared" si="38"/>
        <v>239.222784</v>
      </c>
      <c r="M67" s="26">
        <f t="shared" si="3"/>
        <v>1013.173639</v>
      </c>
      <c r="N67" s="27">
        <v>340.0</v>
      </c>
      <c r="O67" s="27">
        <v>322.0</v>
      </c>
      <c r="P67" s="28">
        <v>116.0</v>
      </c>
      <c r="Q67" s="28">
        <v>70.0</v>
      </c>
      <c r="R67" s="25">
        <f t="shared" ref="R67:R69" si="58">(J67*O67)+(L67*Q67)</f>
        <v>265957.7702</v>
      </c>
      <c r="S67" s="25">
        <f t="shared" ref="S67:S69" si="59">R67*1.2</f>
        <v>319149.3242</v>
      </c>
      <c r="T67" s="29">
        <f t="shared" si="4"/>
        <v>319.1493242</v>
      </c>
    </row>
    <row r="68">
      <c r="A68" s="32"/>
      <c r="B68" s="23" t="s">
        <v>52</v>
      </c>
      <c r="C68" s="23">
        <v>2.2</v>
      </c>
      <c r="D68" s="23">
        <v>1.4</v>
      </c>
      <c r="E68" s="23">
        <v>2.3</v>
      </c>
      <c r="F68" s="23">
        <v>1.9</v>
      </c>
      <c r="G68" s="23">
        <v>1.3</v>
      </c>
      <c r="H68" s="24">
        <v>0.0</v>
      </c>
      <c r="I68" s="25">
        <f t="shared" si="37"/>
        <v>14.8</v>
      </c>
      <c r="J68" s="26">
        <f t="shared" si="57"/>
        <v>706.9227286</v>
      </c>
      <c r="K68" s="26" t="s">
        <v>51</v>
      </c>
      <c r="L68" s="26">
        <f t="shared" si="38"/>
        <v>243.201792</v>
      </c>
      <c r="M68" s="26">
        <f t="shared" si="3"/>
        <v>950.1245206</v>
      </c>
      <c r="N68" s="27">
        <v>340.0</v>
      </c>
      <c r="O68" s="27">
        <v>322.0</v>
      </c>
      <c r="P68" s="28">
        <v>116.0</v>
      </c>
      <c r="Q68" s="28">
        <v>70.0</v>
      </c>
      <c r="R68" s="25">
        <f t="shared" si="58"/>
        <v>244653.2441</v>
      </c>
      <c r="S68" s="25">
        <f t="shared" si="59"/>
        <v>293583.8929</v>
      </c>
      <c r="T68" s="29">
        <f t="shared" si="4"/>
        <v>293.5838929</v>
      </c>
    </row>
    <row r="69">
      <c r="A69" s="33"/>
      <c r="B69" s="31" t="s">
        <v>53</v>
      </c>
      <c r="C69" s="31">
        <v>2.12</v>
      </c>
      <c r="D69" s="31">
        <v>1.32</v>
      </c>
      <c r="E69" s="31">
        <v>2.2</v>
      </c>
      <c r="F69" s="31">
        <v>2.0</v>
      </c>
      <c r="G69" s="31">
        <v>1.4</v>
      </c>
      <c r="H69" s="24">
        <v>0.0</v>
      </c>
      <c r="I69" s="25">
        <f t="shared" si="37"/>
        <v>14.6</v>
      </c>
      <c r="J69" s="26">
        <f t="shared" si="57"/>
        <v>654.1737358</v>
      </c>
      <c r="K69" s="26" t="s">
        <v>51</v>
      </c>
      <c r="L69" s="26">
        <f t="shared" si="38"/>
        <v>250.5086976</v>
      </c>
      <c r="M69" s="26">
        <f t="shared" si="3"/>
        <v>904.6824334</v>
      </c>
      <c r="N69" s="27">
        <v>340.0</v>
      </c>
      <c r="O69" s="27">
        <v>322.0</v>
      </c>
      <c r="P69" s="28">
        <v>116.0</v>
      </c>
      <c r="Q69" s="28">
        <v>70.0</v>
      </c>
      <c r="R69" s="25">
        <f t="shared" si="58"/>
        <v>228179.5518</v>
      </c>
      <c r="S69" s="25">
        <f t="shared" si="59"/>
        <v>273815.4621</v>
      </c>
      <c r="T69" s="29">
        <f t="shared" si="4"/>
        <v>273.8154621</v>
      </c>
    </row>
    <row r="70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  <row r="205"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</row>
    <row r="206"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</row>
    <row r="207"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</row>
    <row r="208"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</row>
    <row r="209"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</row>
    <row r="210"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</row>
    <row r="211"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</row>
    <row r="212"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</row>
    <row r="213"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</row>
    <row r="214"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</row>
    <row r="215"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</row>
    <row r="216"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</row>
    <row r="217"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</row>
    <row r="218"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</row>
    <row r="219"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</row>
    <row r="220"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</row>
    <row r="221"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</row>
    <row r="222"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</row>
    <row r="223"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</row>
    <row r="224"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</row>
    <row r="225"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</row>
    <row r="226"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</row>
    <row r="227"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</row>
    <row r="228"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</row>
    <row r="229"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</row>
    <row r="230"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</row>
    <row r="231"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</row>
    <row r="232"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</row>
    <row r="233"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</row>
    <row r="234"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</row>
    <row r="235"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</row>
    <row r="236"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</row>
    <row r="237"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</row>
    <row r="238"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</row>
    <row r="239"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</row>
    <row r="240"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</row>
    <row r="241"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</row>
    <row r="242"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</row>
    <row r="243"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</row>
    <row r="244"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</row>
    <row r="245"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</row>
    <row r="246"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</row>
    <row r="247"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</row>
    <row r="248"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</row>
    <row r="249"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</row>
    <row r="250"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</row>
    <row r="251"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</row>
    <row r="252"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</row>
    <row r="253"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</row>
    <row r="254"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</row>
    <row r="255"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</row>
    <row r="256"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</row>
    <row r="257"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</row>
    <row r="258"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</row>
    <row r="259"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</row>
    <row r="260"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</row>
    <row r="261"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</row>
    <row r="262"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</row>
    <row r="263"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</row>
    <row r="264"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</row>
    <row r="265"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</row>
    <row r="266"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</row>
    <row r="267"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</row>
    <row r="268"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</row>
    <row r="269"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</row>
    <row r="270"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</row>
    <row r="271"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</row>
    <row r="272"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</row>
    <row r="273"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</row>
    <row r="274"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</row>
    <row r="275"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</row>
    <row r="276"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</row>
    <row r="277"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</row>
    <row r="278"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</row>
    <row r="279"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</row>
    <row r="280"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</row>
    <row r="281"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</row>
    <row r="282"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</row>
    <row r="283"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</row>
    <row r="284"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</row>
    <row r="285"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</row>
    <row r="286"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</row>
    <row r="287"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</row>
    <row r="288"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</row>
    <row r="289"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</row>
    <row r="290"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</row>
    <row r="291"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</row>
    <row r="292"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</row>
    <row r="293"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</row>
    <row r="294"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</row>
    <row r="295"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</row>
    <row r="296"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</row>
    <row r="297"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</row>
    <row r="298"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</row>
    <row r="299"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</row>
    <row r="300"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</row>
    <row r="301"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</row>
    <row r="302"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</row>
    <row r="303"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</row>
    <row r="304"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</row>
    <row r="305"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</row>
    <row r="306"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</row>
    <row r="307"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</row>
    <row r="308"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</row>
    <row r="309"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</row>
    <row r="310"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</row>
    <row r="311"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</row>
    <row r="312"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</row>
    <row r="313"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</row>
    <row r="314"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</row>
    <row r="315"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</row>
    <row r="316"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</row>
    <row r="317"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</row>
    <row r="318"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</row>
    <row r="319"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</row>
    <row r="320"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</row>
    <row r="321"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</row>
    <row r="322"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</row>
    <row r="323"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</row>
    <row r="324"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</row>
    <row r="325"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</row>
    <row r="326"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</row>
    <row r="327"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</row>
    <row r="328"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</row>
    <row r="329"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</row>
    <row r="330"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</row>
    <row r="331"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</row>
    <row r="332"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</row>
    <row r="333"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</row>
    <row r="334"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</row>
    <row r="335"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</row>
    <row r="336"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</row>
    <row r="337"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</row>
    <row r="338"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</row>
    <row r="339"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</row>
    <row r="340"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</row>
    <row r="341"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</row>
    <row r="342"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</row>
    <row r="343"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</row>
    <row r="344"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</row>
    <row r="345"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</row>
    <row r="346"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</row>
    <row r="347"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</row>
    <row r="348"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</row>
    <row r="349"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</row>
    <row r="350"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</row>
    <row r="351"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</row>
    <row r="352"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</row>
    <row r="353"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</row>
    <row r="354"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</row>
    <row r="355"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</row>
    <row r="356"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</row>
    <row r="357"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</row>
    <row r="358"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</row>
    <row r="359"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</row>
    <row r="360"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</row>
    <row r="361"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</row>
    <row r="362"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</row>
    <row r="363"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</row>
    <row r="364"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</row>
    <row r="365"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</row>
    <row r="366"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</row>
    <row r="367"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</row>
    <row r="368"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</row>
    <row r="369"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</row>
    <row r="370"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</row>
    <row r="371"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</row>
    <row r="372"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</row>
    <row r="373"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</row>
    <row r="374"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</row>
    <row r="375"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</row>
    <row r="376"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</row>
    <row r="377"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</row>
    <row r="378"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</row>
    <row r="379"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</row>
    <row r="380"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</row>
    <row r="381"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</row>
    <row r="382"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</row>
    <row r="383"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</row>
    <row r="384"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</row>
    <row r="385"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</row>
    <row r="386"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</row>
    <row r="387"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</row>
    <row r="388"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</row>
    <row r="389"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</row>
    <row r="390"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</row>
    <row r="391"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</row>
    <row r="392"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</row>
    <row r="393"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</row>
    <row r="394"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</row>
    <row r="395"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</row>
    <row r="396"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</row>
    <row r="397"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</row>
    <row r="398"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</row>
    <row r="399"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</row>
    <row r="400"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</row>
    <row r="401"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</row>
    <row r="402"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</row>
    <row r="403"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</row>
    <row r="404"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</row>
    <row r="405"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</row>
    <row r="406"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</row>
    <row r="407"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</row>
    <row r="408"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</row>
    <row r="409"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</row>
    <row r="410"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</row>
    <row r="411"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</row>
    <row r="412"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</row>
    <row r="413"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</row>
    <row r="414"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</row>
    <row r="415"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</row>
    <row r="416"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</row>
    <row r="417"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</row>
    <row r="418"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</row>
    <row r="419"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</row>
    <row r="420"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</row>
    <row r="421"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</row>
    <row r="422"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</row>
    <row r="423"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</row>
    <row r="424"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</row>
    <row r="425"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</row>
    <row r="426"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</row>
    <row r="427"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</row>
    <row r="428"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</row>
    <row r="429"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</row>
    <row r="430"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</row>
    <row r="431"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</row>
    <row r="432"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</row>
    <row r="433"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</row>
    <row r="434"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</row>
    <row r="435"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</row>
    <row r="436"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</row>
    <row r="437"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</row>
    <row r="438"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</row>
    <row r="439"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</row>
    <row r="440"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</row>
    <row r="441"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</row>
    <row r="442"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</row>
    <row r="443"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</row>
    <row r="444"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</row>
    <row r="445"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</row>
    <row r="446"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</row>
    <row r="447"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</row>
    <row r="448"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</row>
    <row r="449"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</row>
    <row r="450"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</row>
    <row r="451"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</row>
    <row r="452"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</row>
    <row r="453"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</row>
    <row r="454"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</row>
    <row r="455"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</row>
    <row r="456"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</row>
    <row r="457"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</row>
    <row r="458"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</row>
    <row r="459"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</row>
    <row r="460"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</row>
    <row r="461"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</row>
    <row r="462"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</row>
    <row r="463"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</row>
    <row r="464"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</row>
    <row r="465"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</row>
    <row r="466"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</row>
    <row r="467"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</row>
    <row r="468"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</row>
    <row r="469"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</row>
    <row r="470"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</row>
    <row r="471"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</row>
    <row r="472"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</row>
    <row r="473"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</row>
    <row r="474"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</row>
    <row r="475"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</row>
    <row r="476"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</row>
    <row r="477"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</row>
    <row r="478"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</row>
    <row r="479"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</row>
    <row r="480"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</row>
    <row r="481"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</row>
    <row r="482"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</row>
    <row r="483"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</row>
    <row r="484"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</row>
    <row r="485"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</row>
    <row r="486"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</row>
    <row r="487"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</row>
    <row r="488"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</row>
    <row r="489"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</row>
    <row r="490"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</row>
    <row r="491"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</row>
    <row r="492"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</row>
    <row r="493"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</row>
    <row r="494"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</row>
    <row r="495"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</row>
    <row r="496"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</row>
    <row r="497"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</row>
    <row r="498"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</row>
    <row r="499"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</row>
    <row r="500"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</row>
    <row r="501"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</row>
    <row r="502"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</row>
    <row r="503"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</row>
    <row r="504"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</row>
    <row r="505"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</row>
    <row r="506"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</row>
    <row r="507"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</row>
    <row r="508"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</row>
    <row r="509"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</row>
    <row r="510"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</row>
    <row r="511"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</row>
    <row r="512"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</row>
    <row r="513"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</row>
    <row r="514"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</row>
    <row r="515"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</row>
    <row r="516"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</row>
    <row r="517"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</row>
    <row r="518"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</row>
    <row r="519"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</row>
    <row r="520"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</row>
    <row r="521"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</row>
    <row r="522"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</row>
    <row r="523"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</row>
    <row r="524"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</row>
    <row r="525"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</row>
    <row r="526"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</row>
    <row r="527"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</row>
    <row r="528"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</row>
    <row r="529"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</row>
    <row r="530"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</row>
    <row r="531"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</row>
    <row r="532"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</row>
    <row r="533"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</row>
    <row r="534"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</row>
    <row r="535"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</row>
    <row r="536"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</row>
    <row r="537"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</row>
    <row r="538"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</row>
    <row r="539"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</row>
    <row r="540"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</row>
    <row r="541"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</row>
    <row r="542"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</row>
    <row r="543"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</row>
    <row r="544"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</row>
    <row r="545"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</row>
    <row r="546"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</row>
    <row r="547"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</row>
    <row r="548"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</row>
    <row r="549"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</row>
    <row r="550"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</row>
    <row r="551"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</row>
    <row r="552"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</row>
    <row r="553"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</row>
    <row r="554"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</row>
    <row r="555"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</row>
    <row r="556"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</row>
    <row r="557"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</row>
    <row r="558"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</row>
    <row r="559"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</row>
    <row r="560"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</row>
    <row r="561"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</row>
    <row r="562"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</row>
    <row r="563"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</row>
    <row r="564"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</row>
    <row r="565"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</row>
    <row r="566"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</row>
    <row r="567"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</row>
    <row r="568"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</row>
    <row r="569"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</row>
    <row r="570"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</row>
    <row r="571"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</row>
    <row r="572"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</row>
    <row r="573"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</row>
    <row r="574"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</row>
    <row r="575"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</row>
    <row r="576"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</row>
    <row r="577"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</row>
    <row r="578"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</row>
    <row r="579"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</row>
    <row r="580"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</row>
    <row r="581"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</row>
    <row r="582"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</row>
    <row r="583"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</row>
    <row r="584"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</row>
    <row r="585"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</row>
    <row r="586"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</row>
    <row r="587"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</row>
    <row r="588"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</row>
    <row r="589"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</row>
    <row r="590"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</row>
    <row r="591"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</row>
    <row r="592"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</row>
    <row r="593"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</row>
    <row r="594"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</row>
    <row r="595"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</row>
    <row r="596"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</row>
    <row r="597"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</row>
    <row r="598"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</row>
    <row r="599"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</row>
    <row r="600"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</row>
    <row r="601"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</row>
    <row r="602"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</row>
    <row r="603"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</row>
    <row r="604"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</row>
    <row r="605"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</row>
    <row r="606"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</row>
    <row r="607"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</row>
    <row r="608"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</row>
    <row r="609"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</row>
    <row r="610"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</row>
    <row r="611"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</row>
    <row r="612"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</row>
    <row r="613"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</row>
    <row r="614"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</row>
    <row r="615"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</row>
    <row r="616"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</row>
    <row r="617"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</row>
    <row r="618"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</row>
    <row r="619"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</row>
    <row r="620"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</row>
    <row r="621"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</row>
    <row r="622"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</row>
    <row r="623"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</row>
    <row r="624"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</row>
    <row r="625"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</row>
    <row r="626"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</row>
    <row r="627"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</row>
    <row r="628"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</row>
    <row r="629"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</row>
    <row r="630"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</row>
    <row r="631"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</row>
    <row r="632"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</row>
    <row r="633"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</row>
    <row r="634"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</row>
    <row r="635"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</row>
    <row r="636"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</row>
    <row r="637"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</row>
    <row r="638"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</row>
    <row r="639"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</row>
    <row r="640"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</row>
    <row r="641"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</row>
    <row r="642"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</row>
    <row r="643"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</row>
    <row r="644"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</row>
    <row r="645"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</row>
    <row r="646"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</row>
    <row r="647"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</row>
    <row r="648"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</row>
    <row r="649"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</row>
    <row r="650"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</row>
    <row r="651"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</row>
    <row r="652"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</row>
    <row r="653"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</row>
    <row r="654"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</row>
    <row r="655"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</row>
    <row r="656"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</row>
    <row r="657"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</row>
    <row r="658"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</row>
    <row r="659"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</row>
    <row r="660"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</row>
    <row r="661"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</row>
    <row r="662"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</row>
    <row r="663"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</row>
    <row r="664"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</row>
    <row r="665"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</row>
    <row r="666"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</row>
    <row r="667"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</row>
    <row r="668"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</row>
    <row r="669"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</row>
    <row r="670"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</row>
    <row r="671"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</row>
    <row r="672"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</row>
    <row r="673"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</row>
    <row r="674"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</row>
    <row r="675"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</row>
    <row r="676"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</row>
    <row r="677"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</row>
    <row r="678"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</row>
    <row r="679"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</row>
    <row r="680"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</row>
    <row r="681"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</row>
    <row r="682"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</row>
    <row r="683"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</row>
    <row r="684"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</row>
    <row r="685"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</row>
    <row r="686"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</row>
    <row r="687"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</row>
    <row r="688"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</row>
    <row r="689"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</row>
    <row r="690"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</row>
    <row r="691"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</row>
    <row r="692"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</row>
    <row r="693"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</row>
    <row r="694"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</row>
    <row r="695"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</row>
    <row r="696"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</row>
    <row r="697"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</row>
    <row r="698"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</row>
    <row r="699"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</row>
    <row r="700"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</row>
    <row r="701"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</row>
    <row r="702"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</row>
    <row r="703"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</row>
    <row r="704"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</row>
    <row r="705"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</row>
    <row r="706"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</row>
    <row r="707"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</row>
    <row r="708"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</row>
    <row r="709"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</row>
    <row r="710"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</row>
    <row r="711"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</row>
    <row r="712"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</row>
    <row r="713"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</row>
    <row r="714"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</row>
    <row r="715"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</row>
    <row r="716"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</row>
    <row r="717"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</row>
    <row r="718"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</row>
    <row r="719"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</row>
    <row r="720"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</row>
    <row r="721"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</row>
    <row r="722"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</row>
    <row r="723"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</row>
    <row r="724"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</row>
    <row r="725"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</row>
    <row r="726"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</row>
    <row r="727"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</row>
    <row r="728"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</row>
    <row r="729"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</row>
    <row r="730"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</row>
    <row r="731"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</row>
    <row r="732"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</row>
    <row r="733"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</row>
    <row r="734"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</row>
    <row r="735"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</row>
    <row r="736"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</row>
    <row r="737"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</row>
    <row r="738"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</row>
    <row r="739"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</row>
    <row r="740"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</row>
    <row r="741"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</row>
    <row r="742"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</row>
    <row r="743"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</row>
    <row r="744"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</row>
    <row r="745"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</row>
    <row r="746"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</row>
    <row r="747"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</row>
    <row r="748"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</row>
    <row r="749"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</row>
    <row r="750"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</row>
    <row r="751"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</row>
    <row r="752"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</row>
    <row r="753"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</row>
    <row r="754"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</row>
    <row r="755"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</row>
    <row r="756"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</row>
    <row r="757"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</row>
    <row r="758"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</row>
    <row r="759"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</row>
    <row r="760"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</row>
    <row r="761"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</row>
    <row r="762"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</row>
    <row r="763"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</row>
    <row r="764"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</row>
    <row r="765"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</row>
    <row r="766"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</row>
    <row r="767"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</row>
    <row r="768"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</row>
    <row r="769"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</row>
    <row r="770"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</row>
    <row r="771"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</row>
    <row r="772"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</row>
    <row r="773"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</row>
    <row r="774"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</row>
    <row r="775"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</row>
    <row r="776"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</row>
    <row r="777"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</row>
    <row r="778"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</row>
    <row r="779"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</row>
    <row r="780"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</row>
    <row r="781"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</row>
    <row r="782"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</row>
    <row r="783"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</row>
    <row r="784"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</row>
    <row r="785"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</row>
    <row r="786"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</row>
    <row r="787"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</row>
    <row r="788"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</row>
    <row r="789"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</row>
    <row r="790"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</row>
    <row r="791"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</row>
    <row r="792"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</row>
    <row r="793"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</row>
    <row r="794"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</row>
    <row r="795"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</row>
    <row r="796"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</row>
    <row r="797"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</row>
    <row r="798"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</row>
    <row r="799"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</row>
    <row r="800"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</row>
    <row r="801"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</row>
    <row r="802"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</row>
    <row r="803"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</row>
    <row r="804"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</row>
    <row r="805"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</row>
    <row r="806"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</row>
    <row r="807"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</row>
    <row r="808"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</row>
    <row r="809"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</row>
    <row r="810"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</row>
    <row r="811"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</row>
    <row r="812"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</row>
    <row r="813"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</row>
    <row r="814"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</row>
    <row r="815"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</row>
    <row r="816"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</row>
    <row r="817"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</row>
    <row r="818"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</row>
    <row r="819"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</row>
    <row r="820"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</row>
    <row r="821"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</row>
    <row r="822"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</row>
    <row r="823"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</row>
    <row r="824"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</row>
    <row r="825"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</row>
    <row r="826"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</row>
    <row r="827"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</row>
    <row r="828"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</row>
    <row r="829"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</row>
    <row r="830"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</row>
    <row r="831"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</row>
    <row r="832"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</row>
    <row r="833"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</row>
    <row r="834"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</row>
    <row r="835"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</row>
    <row r="836"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</row>
    <row r="837"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</row>
    <row r="838"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</row>
    <row r="839"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</row>
    <row r="840"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</row>
    <row r="841"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</row>
    <row r="842"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</row>
    <row r="843"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</row>
    <row r="844"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</row>
    <row r="845"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</row>
    <row r="846"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</row>
    <row r="847"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</row>
    <row r="848"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</row>
    <row r="849"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</row>
    <row r="850"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</row>
    <row r="851"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</row>
    <row r="852"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</row>
    <row r="853"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</row>
    <row r="854"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</row>
    <row r="855"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</row>
    <row r="856"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</row>
    <row r="857"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</row>
    <row r="858"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</row>
    <row r="859"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</row>
    <row r="860"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</row>
    <row r="861"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</row>
    <row r="862"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</row>
    <row r="863"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</row>
    <row r="864"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</row>
    <row r="865"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</row>
    <row r="866"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</row>
    <row r="867"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</row>
    <row r="868"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</row>
    <row r="869"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</row>
    <row r="870"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</row>
    <row r="871"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</row>
    <row r="872"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</row>
    <row r="873"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</row>
    <row r="874"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</row>
    <row r="875"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</row>
    <row r="876"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</row>
    <row r="877"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</row>
    <row r="878"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</row>
    <row r="879"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</row>
    <row r="880"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</row>
    <row r="881"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</row>
    <row r="882"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</row>
    <row r="883"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</row>
    <row r="884"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</row>
    <row r="885"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</row>
    <row r="886"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</row>
    <row r="887"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</row>
    <row r="888"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</row>
    <row r="889"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</row>
    <row r="890"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</row>
    <row r="891"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</row>
    <row r="892"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</row>
    <row r="893"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</row>
    <row r="894"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</row>
    <row r="895"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</row>
    <row r="896"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</row>
    <row r="897"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</row>
    <row r="898"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</row>
    <row r="899"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</row>
    <row r="900"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</row>
    <row r="901"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</row>
    <row r="902"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</row>
    <row r="903"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</row>
    <row r="904"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</row>
    <row r="905"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</row>
    <row r="906"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</row>
    <row r="907"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</row>
    <row r="908"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</row>
    <row r="909"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</row>
    <row r="910"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</row>
    <row r="911"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</row>
    <row r="912"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</row>
    <row r="913"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</row>
    <row r="914"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</row>
    <row r="915"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</row>
    <row r="916"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</row>
    <row r="917"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</row>
    <row r="918"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</row>
    <row r="919"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</row>
    <row r="920"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</row>
    <row r="921"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</row>
    <row r="922"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</row>
    <row r="923"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</row>
    <row r="924"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</row>
    <row r="925"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</row>
    <row r="926"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</row>
    <row r="927"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</row>
    <row r="928"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</row>
    <row r="929"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</row>
    <row r="930"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</row>
    <row r="931"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</row>
    <row r="932"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</row>
    <row r="933"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</row>
    <row r="934"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</row>
    <row r="935"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</row>
    <row r="936"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</row>
    <row r="937"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</row>
    <row r="938"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</row>
    <row r="939"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</row>
    <row r="940"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</row>
    <row r="941"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</row>
    <row r="942"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</row>
    <row r="943"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</row>
    <row r="944"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</row>
    <row r="945"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</row>
    <row r="946"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</row>
    <row r="947"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</row>
    <row r="948"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</row>
    <row r="949"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</row>
    <row r="950"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</row>
    <row r="951"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</row>
    <row r="952"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</row>
    <row r="953"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</row>
    <row r="954"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</row>
    <row r="955"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</row>
    <row r="956"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</row>
    <row r="957"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</row>
    <row r="958"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</row>
    <row r="959"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</row>
    <row r="960"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</row>
    <row r="961"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</row>
    <row r="962"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</row>
    <row r="963"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</row>
    <row r="964"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</row>
    <row r="965"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</row>
    <row r="966"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</row>
    <row r="967"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</row>
    <row r="968"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</row>
    <row r="969"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</row>
    <row r="970"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</row>
    <row r="971"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</row>
    <row r="972"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</row>
    <row r="973"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</row>
    <row r="974"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</row>
    <row r="975"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</row>
    <row r="976"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</row>
    <row r="977"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</row>
    <row r="978"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</row>
    <row r="979"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</row>
    <row r="980"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</row>
    <row r="981"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</row>
    <row r="982"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</row>
    <row r="983"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</row>
    <row r="984"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</row>
    <row r="985"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</row>
    <row r="986"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</row>
    <row r="987"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</row>
    <row r="988"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</row>
    <row r="989"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</row>
    <row r="990"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</row>
    <row r="991"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</row>
    <row r="992"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</row>
    <row r="993"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</row>
    <row r="994"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</row>
    <row r="995"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</row>
    <row r="996"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</row>
    <row r="997"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</row>
    <row r="998"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</row>
    <row r="999"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</row>
    <row r="1000"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</row>
    <row r="1001"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</row>
    <row r="1002"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</row>
    <row r="1003"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</row>
    <row r="1004"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</row>
    <row r="1005"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</row>
    <row r="1006"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</row>
    <row r="1007"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</row>
    <row r="1008"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</row>
    <row r="1009"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</row>
    <row r="1010"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</row>
    <row r="1011"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</row>
    <row r="1012"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</row>
    <row r="1013">
      <c r="B1013" s="39"/>
      <c r="C1013" s="39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</row>
    <row r="1014">
      <c r="B1014" s="39"/>
      <c r="C1014" s="39"/>
      <c r="D1014" s="39"/>
      <c r="E1014" s="39"/>
      <c r="F1014" s="39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</row>
    <row r="1015">
      <c r="B1015" s="39"/>
      <c r="C1015" s="39"/>
      <c r="D1015" s="39"/>
      <c r="E1015" s="39"/>
      <c r="F1015" s="39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</row>
    <row r="1016">
      <c r="B1016" s="39"/>
      <c r="C1016" s="39"/>
      <c r="D1016" s="39"/>
      <c r="E1016" s="39"/>
      <c r="F1016" s="39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</row>
    <row r="1017">
      <c r="B1017" s="39"/>
      <c r="C1017" s="39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</row>
    <row r="1018">
      <c r="B1018" s="39"/>
      <c r="C1018" s="39"/>
      <c r="D1018" s="39"/>
      <c r="E1018" s="39"/>
      <c r="F1018" s="39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</row>
    <row r="1019">
      <c r="B1019" s="39"/>
      <c r="C1019" s="39"/>
      <c r="D1019" s="39"/>
      <c r="E1019" s="39"/>
      <c r="F1019" s="39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</row>
    <row r="1020">
      <c r="B1020" s="39"/>
      <c r="C1020" s="39"/>
      <c r="D1020" s="39"/>
      <c r="E1020" s="39"/>
      <c r="F1020" s="39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</row>
    <row r="1021">
      <c r="B1021" s="39"/>
      <c r="C1021" s="39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</row>
    <row r="1022">
      <c r="B1022" s="39"/>
      <c r="C1022" s="39"/>
      <c r="D1022" s="39"/>
      <c r="E1022" s="39"/>
      <c r="F1022" s="39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</row>
    <row r="1023">
      <c r="B1023" s="39"/>
      <c r="C1023" s="39"/>
      <c r="D1023" s="39"/>
      <c r="E1023" s="39"/>
      <c r="F1023" s="39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</row>
    <row r="1024">
      <c r="B1024" s="39"/>
      <c r="C1024" s="39"/>
      <c r="D1024" s="39"/>
      <c r="E1024" s="39"/>
      <c r="F1024" s="39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</row>
  </sheetData>
  <mergeCells count="17">
    <mergeCell ref="A2:A5"/>
    <mergeCell ref="A6:A9"/>
    <mergeCell ref="A10:A13"/>
    <mergeCell ref="A14:A17"/>
    <mergeCell ref="A18:A21"/>
    <mergeCell ref="A22:A25"/>
    <mergeCell ref="A26:A29"/>
    <mergeCell ref="A58:A61"/>
    <mergeCell ref="A62:A65"/>
    <mergeCell ref="A66:A69"/>
    <mergeCell ref="A30:A33"/>
    <mergeCell ref="A34:A37"/>
    <mergeCell ref="A38:A41"/>
    <mergeCell ref="A42:A45"/>
    <mergeCell ref="A46:A49"/>
    <mergeCell ref="A50:A53"/>
    <mergeCell ref="A54:A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3" width="17.0"/>
    <col customWidth="1" min="4" max="6" width="18.14"/>
    <col customWidth="1" min="15" max="15" width="16.71"/>
  </cols>
  <sheetData>
    <row r="1">
      <c r="A1" s="40" t="s">
        <v>0</v>
      </c>
      <c r="B1" s="41" t="s">
        <v>70</v>
      </c>
      <c r="D1" s="40" t="s">
        <v>71</v>
      </c>
      <c r="E1" s="40" t="s">
        <v>72</v>
      </c>
      <c r="F1" s="40" t="s">
        <v>73</v>
      </c>
      <c r="G1" s="40" t="s">
        <v>74</v>
      </c>
      <c r="H1" s="40" t="s">
        <v>75</v>
      </c>
      <c r="I1" s="40" t="s">
        <v>76</v>
      </c>
      <c r="J1" s="40" t="s">
        <v>77</v>
      </c>
      <c r="K1" s="42" t="s">
        <v>5</v>
      </c>
      <c r="L1" s="42" t="s">
        <v>78</v>
      </c>
      <c r="M1" s="43" t="s">
        <v>79</v>
      </c>
      <c r="N1" s="43" t="s">
        <v>80</v>
      </c>
      <c r="O1" s="43" t="s">
        <v>81</v>
      </c>
      <c r="P1" s="43" t="s">
        <v>82</v>
      </c>
      <c r="Q1" s="43" t="s">
        <v>83</v>
      </c>
    </row>
    <row r="2" ht="54.0" customHeight="1">
      <c r="B2" s="41" t="s">
        <v>84</v>
      </c>
      <c r="C2" s="41" t="s">
        <v>85</v>
      </c>
      <c r="K2" s="44"/>
      <c r="L2" s="44"/>
      <c r="M2" s="44"/>
      <c r="N2" s="44"/>
      <c r="O2" s="44"/>
      <c r="P2" s="44"/>
      <c r="Q2" s="44"/>
    </row>
    <row r="3">
      <c r="A3" s="45" t="s">
        <v>86</v>
      </c>
      <c r="B3" s="45" t="s">
        <v>87</v>
      </c>
      <c r="C3" s="45" t="s">
        <v>88</v>
      </c>
      <c r="D3" s="46">
        <v>6.0</v>
      </c>
      <c r="E3" s="45">
        <v>1.0</v>
      </c>
      <c r="F3" s="47">
        <v>1.5</v>
      </c>
      <c r="G3" s="47">
        <v>1.5</v>
      </c>
      <c r="H3" s="47">
        <f t="shared" ref="H3:H16" si="1">F3*F3*0.785*D3*1.02*2.703</f>
        <v>29.21794335</v>
      </c>
      <c r="I3" s="47">
        <f t="shared" ref="I3:I16" si="2">G3*G3*0.785*E3*1.02*7.9</f>
        <v>14.2324425</v>
      </c>
      <c r="J3" s="47">
        <f t="shared" ref="J3:J16" si="3">I3+H3</f>
        <v>43.45038585</v>
      </c>
      <c r="K3" s="48">
        <v>296.0</v>
      </c>
      <c r="L3" s="48">
        <v>320.0</v>
      </c>
      <c r="M3" s="49">
        <v>65.0</v>
      </c>
      <c r="N3" s="50">
        <f t="shared" ref="N3:N16" si="4">((H3*L3)+(I3*M3))*1.12/1000</f>
        <v>11.50783271</v>
      </c>
      <c r="O3" s="50">
        <f t="shared" ref="O3:O16" si="5">((I3*M3)+(H3*K3))*1.15/1000</f>
        <v>11.00966299</v>
      </c>
      <c r="P3" s="50">
        <f t="shared" ref="P3:P16" si="6">(N3*1000)/J3</f>
        <v>264.8499544</v>
      </c>
      <c r="Q3" s="50">
        <f t="shared" ref="Q3:Q16" si="7">(O3*1000)/J3</f>
        <v>253.3847002</v>
      </c>
    </row>
    <row r="4">
      <c r="A4" s="45" t="s">
        <v>89</v>
      </c>
      <c r="B4" s="45" t="s">
        <v>90</v>
      </c>
      <c r="C4" s="45" t="s">
        <v>91</v>
      </c>
      <c r="D4" s="46">
        <v>6.0</v>
      </c>
      <c r="E4" s="45">
        <v>1.0</v>
      </c>
      <c r="F4" s="47">
        <v>1.96</v>
      </c>
      <c r="G4" s="47">
        <v>1.96</v>
      </c>
      <c r="H4" s="47">
        <f t="shared" si="1"/>
        <v>49.88606719</v>
      </c>
      <c r="I4" s="47">
        <f t="shared" si="2"/>
        <v>24.30015605</v>
      </c>
      <c r="J4" s="47">
        <f t="shared" si="3"/>
        <v>74.18622324</v>
      </c>
      <c r="K4" s="48">
        <v>296.0</v>
      </c>
      <c r="L4" s="48">
        <v>320.0</v>
      </c>
      <c r="M4" s="49">
        <v>65.0</v>
      </c>
      <c r="N4" s="50">
        <f t="shared" si="4"/>
        <v>19.64821784</v>
      </c>
      <c r="O4" s="50">
        <f t="shared" si="5"/>
        <v>18.79765394</v>
      </c>
      <c r="P4" s="50">
        <f t="shared" si="6"/>
        <v>264.8499544</v>
      </c>
      <c r="Q4" s="50">
        <f t="shared" si="7"/>
        <v>253.3847002</v>
      </c>
    </row>
    <row r="5">
      <c r="A5" s="45" t="s">
        <v>92</v>
      </c>
      <c r="B5" s="45" t="s">
        <v>90</v>
      </c>
      <c r="C5" s="45" t="s">
        <v>91</v>
      </c>
      <c r="D5" s="46">
        <v>6.0</v>
      </c>
      <c r="E5" s="45">
        <v>1.0</v>
      </c>
      <c r="F5" s="47">
        <v>1.96</v>
      </c>
      <c r="G5" s="47">
        <v>1.96</v>
      </c>
      <c r="H5" s="47">
        <f t="shared" si="1"/>
        <v>49.88606719</v>
      </c>
      <c r="I5" s="47">
        <f t="shared" si="2"/>
        <v>24.30015605</v>
      </c>
      <c r="J5" s="47">
        <f t="shared" si="3"/>
        <v>74.18622324</v>
      </c>
      <c r="K5" s="48">
        <v>296.0</v>
      </c>
      <c r="L5" s="48">
        <v>320.0</v>
      </c>
      <c r="M5" s="49">
        <v>65.0</v>
      </c>
      <c r="N5" s="50">
        <f t="shared" si="4"/>
        <v>19.64821784</v>
      </c>
      <c r="O5" s="50">
        <f t="shared" si="5"/>
        <v>18.79765394</v>
      </c>
      <c r="P5" s="50">
        <f t="shared" si="6"/>
        <v>264.8499544</v>
      </c>
      <c r="Q5" s="50">
        <f t="shared" si="7"/>
        <v>253.3847002</v>
      </c>
    </row>
    <row r="6">
      <c r="A6" s="45" t="s">
        <v>93</v>
      </c>
      <c r="B6" s="45" t="s">
        <v>94</v>
      </c>
      <c r="C6" s="45" t="s">
        <v>95</v>
      </c>
      <c r="D6" s="46">
        <v>6.0</v>
      </c>
      <c r="E6" s="45">
        <v>1.0</v>
      </c>
      <c r="F6" s="47">
        <v>2.59</v>
      </c>
      <c r="G6" s="47">
        <v>2.59</v>
      </c>
      <c r="H6" s="47">
        <f t="shared" si="1"/>
        <v>87.10972702</v>
      </c>
      <c r="I6" s="47">
        <f t="shared" si="2"/>
        <v>42.43228779</v>
      </c>
      <c r="J6" s="47">
        <f t="shared" si="3"/>
        <v>129.5420148</v>
      </c>
      <c r="K6" s="48">
        <v>296.0</v>
      </c>
      <c r="L6" s="48">
        <v>320.0</v>
      </c>
      <c r="M6" s="49">
        <v>65.0</v>
      </c>
      <c r="N6" s="50">
        <f t="shared" si="4"/>
        <v>34.30919671</v>
      </c>
      <c r="O6" s="50">
        <f t="shared" si="5"/>
        <v>32.82396459</v>
      </c>
      <c r="P6" s="50">
        <f t="shared" si="6"/>
        <v>264.8499544</v>
      </c>
      <c r="Q6" s="50">
        <f t="shared" si="7"/>
        <v>253.3847002</v>
      </c>
    </row>
    <row r="7">
      <c r="A7" s="45" t="s">
        <v>96</v>
      </c>
      <c r="B7" s="45" t="s">
        <v>97</v>
      </c>
      <c r="C7" s="45" t="s">
        <v>98</v>
      </c>
      <c r="D7" s="46">
        <v>6.0</v>
      </c>
      <c r="E7" s="45">
        <v>1.0</v>
      </c>
      <c r="F7" s="47">
        <v>3.35</v>
      </c>
      <c r="G7" s="47">
        <v>3.35</v>
      </c>
      <c r="H7" s="47">
        <f t="shared" si="1"/>
        <v>145.7326086</v>
      </c>
      <c r="I7" s="47">
        <f t="shared" si="2"/>
        <v>70.98826043</v>
      </c>
      <c r="J7" s="47">
        <f t="shared" si="3"/>
        <v>216.720869</v>
      </c>
      <c r="K7" s="48">
        <v>296.0</v>
      </c>
      <c r="L7" s="48">
        <v>320.0</v>
      </c>
      <c r="M7" s="49">
        <v>65.0</v>
      </c>
      <c r="N7" s="50">
        <f t="shared" si="4"/>
        <v>57.39851226</v>
      </c>
      <c r="O7" s="50">
        <f t="shared" si="5"/>
        <v>54.91375242</v>
      </c>
      <c r="P7" s="50">
        <f t="shared" si="6"/>
        <v>264.8499544</v>
      </c>
      <c r="Q7" s="50">
        <f t="shared" si="7"/>
        <v>253.3847002</v>
      </c>
    </row>
    <row r="8">
      <c r="A8" s="45" t="s">
        <v>99</v>
      </c>
      <c r="B8" s="45" t="s">
        <v>100</v>
      </c>
      <c r="C8" s="45" t="s">
        <v>101</v>
      </c>
      <c r="D8" s="46">
        <v>6.0</v>
      </c>
      <c r="E8" s="45">
        <v>1.0</v>
      </c>
      <c r="F8" s="47">
        <v>4.09</v>
      </c>
      <c r="G8" s="47">
        <v>4.09</v>
      </c>
      <c r="H8" s="47">
        <f t="shared" si="1"/>
        <v>217.2269681</v>
      </c>
      <c r="I8" s="47">
        <f t="shared" si="2"/>
        <v>105.8140984</v>
      </c>
      <c r="J8" s="47">
        <f t="shared" si="3"/>
        <v>323.0410665</v>
      </c>
      <c r="K8" s="48">
        <v>296.0</v>
      </c>
      <c r="L8" s="48">
        <v>320.0</v>
      </c>
      <c r="M8" s="49">
        <v>65.0</v>
      </c>
      <c r="N8" s="50">
        <f t="shared" si="4"/>
        <v>85.55741172</v>
      </c>
      <c r="O8" s="50">
        <f t="shared" si="5"/>
        <v>81.85366379</v>
      </c>
      <c r="P8" s="50">
        <f t="shared" si="6"/>
        <v>264.8499544</v>
      </c>
      <c r="Q8" s="50">
        <f t="shared" si="7"/>
        <v>253.3847002</v>
      </c>
    </row>
    <row r="9">
      <c r="A9" s="45" t="s">
        <v>102</v>
      </c>
      <c r="B9" s="45" t="s">
        <v>103</v>
      </c>
      <c r="C9" s="45" t="s">
        <v>104</v>
      </c>
      <c r="D9" s="46">
        <v>6.0</v>
      </c>
      <c r="E9" s="45">
        <v>7.0</v>
      </c>
      <c r="F9" s="47">
        <v>4.72</v>
      </c>
      <c r="G9" s="47">
        <v>1.57</v>
      </c>
      <c r="H9" s="47">
        <f t="shared" si="1"/>
        <v>289.3017907</v>
      </c>
      <c r="I9" s="47">
        <f t="shared" si="2"/>
        <v>109.1425923</v>
      </c>
      <c r="J9" s="47">
        <f t="shared" si="3"/>
        <v>398.444383</v>
      </c>
      <c r="K9" s="48">
        <v>296.0</v>
      </c>
      <c r="L9" s="48">
        <v>320.0</v>
      </c>
      <c r="M9" s="49">
        <v>65.0</v>
      </c>
      <c r="N9" s="50">
        <f t="shared" si="4"/>
        <v>111.6313425</v>
      </c>
      <c r="O9" s="50">
        <f t="shared" si="5"/>
        <v>106.6367383</v>
      </c>
      <c r="P9" s="50">
        <f t="shared" si="6"/>
        <v>280.1679413</v>
      </c>
      <c r="Q9" s="50">
        <f t="shared" si="7"/>
        <v>267.6326807</v>
      </c>
    </row>
    <row r="10">
      <c r="A10" s="45" t="s">
        <v>105</v>
      </c>
      <c r="B10" s="45" t="s">
        <v>106</v>
      </c>
      <c r="C10" s="45" t="s">
        <v>107</v>
      </c>
      <c r="D10" s="46">
        <v>30.0</v>
      </c>
      <c r="E10" s="45">
        <v>7.0</v>
      </c>
      <c r="F10" s="47">
        <v>2.59</v>
      </c>
      <c r="G10" s="47">
        <v>2.59</v>
      </c>
      <c r="H10" s="47">
        <f t="shared" si="1"/>
        <v>435.5486351</v>
      </c>
      <c r="I10" s="47">
        <f t="shared" si="2"/>
        <v>297.0260146</v>
      </c>
      <c r="J10" s="47">
        <f t="shared" si="3"/>
        <v>732.5746496</v>
      </c>
      <c r="K10" s="48">
        <v>296.0</v>
      </c>
      <c r="L10" s="48">
        <v>320.0</v>
      </c>
      <c r="M10" s="49">
        <v>65.0</v>
      </c>
      <c r="N10" s="50">
        <f t="shared" si="4"/>
        <v>177.7241247</v>
      </c>
      <c r="O10" s="50">
        <f t="shared" si="5"/>
        <v>170.46345</v>
      </c>
      <c r="P10" s="50">
        <f t="shared" si="6"/>
        <v>242.6020676</v>
      </c>
      <c r="Q10" s="50">
        <f t="shared" si="7"/>
        <v>232.6908938</v>
      </c>
    </row>
    <row r="11">
      <c r="A11" s="45" t="s">
        <v>108</v>
      </c>
      <c r="B11" s="45" t="s">
        <v>109</v>
      </c>
      <c r="C11" s="45" t="s">
        <v>110</v>
      </c>
      <c r="D11" s="46">
        <v>30.0</v>
      </c>
      <c r="E11" s="45">
        <v>7.0</v>
      </c>
      <c r="F11" s="47">
        <v>3.0</v>
      </c>
      <c r="G11" s="47">
        <v>3.0</v>
      </c>
      <c r="H11" s="47">
        <f t="shared" si="1"/>
        <v>584.358867</v>
      </c>
      <c r="I11" s="47">
        <f t="shared" si="2"/>
        <v>398.50839</v>
      </c>
      <c r="J11" s="47">
        <f t="shared" si="3"/>
        <v>982.867257</v>
      </c>
      <c r="K11" s="48">
        <v>296.0</v>
      </c>
      <c r="L11" s="48">
        <v>320.0</v>
      </c>
      <c r="M11" s="49">
        <v>65.0</v>
      </c>
      <c r="N11" s="50">
        <f t="shared" si="4"/>
        <v>238.4456287</v>
      </c>
      <c r="O11" s="50">
        <f t="shared" si="5"/>
        <v>228.7042605</v>
      </c>
      <c r="P11" s="50">
        <f t="shared" si="6"/>
        <v>242.6020676</v>
      </c>
      <c r="Q11" s="50">
        <f t="shared" si="7"/>
        <v>232.6908938</v>
      </c>
    </row>
    <row r="12">
      <c r="A12" s="45" t="s">
        <v>111</v>
      </c>
      <c r="B12" s="45" t="s">
        <v>112</v>
      </c>
      <c r="C12" s="45" t="s">
        <v>113</v>
      </c>
      <c r="D12" s="46">
        <v>42.0</v>
      </c>
      <c r="E12" s="45">
        <v>7.0</v>
      </c>
      <c r="F12" s="47">
        <v>3.5</v>
      </c>
      <c r="G12" s="47">
        <v>1.96</v>
      </c>
      <c r="H12" s="47">
        <f t="shared" si="1"/>
        <v>1113.528285</v>
      </c>
      <c r="I12" s="47">
        <f t="shared" si="2"/>
        <v>170.1010923</v>
      </c>
      <c r="J12" s="47">
        <f t="shared" si="3"/>
        <v>1283.629378</v>
      </c>
      <c r="K12" s="48">
        <v>296.0</v>
      </c>
      <c r="L12" s="48">
        <v>320.0</v>
      </c>
      <c r="M12" s="49">
        <v>65.0</v>
      </c>
      <c r="N12" s="50">
        <f t="shared" si="4"/>
        <v>411.471897</v>
      </c>
      <c r="O12" s="50">
        <f t="shared" si="5"/>
        <v>391.760085</v>
      </c>
      <c r="P12" s="50">
        <f t="shared" si="6"/>
        <v>320.5535057</v>
      </c>
      <c r="Q12" s="50">
        <f t="shared" si="7"/>
        <v>305.1971946</v>
      </c>
    </row>
    <row r="13">
      <c r="A13" s="45" t="s">
        <v>114</v>
      </c>
      <c r="B13" s="45" t="s">
        <v>115</v>
      </c>
      <c r="C13" s="45" t="s">
        <v>116</v>
      </c>
      <c r="D13" s="46">
        <v>54.0</v>
      </c>
      <c r="E13" s="45">
        <v>7.0</v>
      </c>
      <c r="F13" s="47">
        <v>3.18</v>
      </c>
      <c r="G13" s="47">
        <v>3.18</v>
      </c>
      <c r="H13" s="47">
        <f t="shared" si="1"/>
        <v>1181.854121</v>
      </c>
      <c r="I13" s="47">
        <f t="shared" si="2"/>
        <v>447.764027</v>
      </c>
      <c r="J13" s="47">
        <f t="shared" si="3"/>
        <v>1629.618148</v>
      </c>
      <c r="K13" s="48">
        <v>296.0</v>
      </c>
      <c r="L13" s="48">
        <v>320.0</v>
      </c>
      <c r="M13" s="49">
        <v>65.0</v>
      </c>
      <c r="N13" s="50">
        <f t="shared" si="4"/>
        <v>456.1737383</v>
      </c>
      <c r="O13" s="50">
        <f t="shared" si="5"/>
        <v>435.7735039</v>
      </c>
      <c r="P13" s="50">
        <f t="shared" si="6"/>
        <v>279.9267661</v>
      </c>
      <c r="Q13" s="50">
        <f t="shared" si="7"/>
        <v>267.4083523</v>
      </c>
    </row>
    <row r="14">
      <c r="A14" s="45" t="s">
        <v>117</v>
      </c>
      <c r="B14" s="45" t="s">
        <v>118</v>
      </c>
      <c r="C14" s="45" t="s">
        <v>119</v>
      </c>
      <c r="D14" s="46">
        <v>54.0</v>
      </c>
      <c r="E14" s="45">
        <v>7.0</v>
      </c>
      <c r="F14" s="47">
        <v>3.53</v>
      </c>
      <c r="G14" s="47">
        <v>3.53</v>
      </c>
      <c r="H14" s="47">
        <f t="shared" si="1"/>
        <v>1456.327481</v>
      </c>
      <c r="I14" s="47">
        <f t="shared" si="2"/>
        <v>551.7525774</v>
      </c>
      <c r="J14" s="47">
        <f t="shared" si="3"/>
        <v>2008.080059</v>
      </c>
      <c r="K14" s="48">
        <v>296.0</v>
      </c>
      <c r="L14" s="48">
        <v>320.0</v>
      </c>
      <c r="M14" s="49">
        <v>65.0</v>
      </c>
      <c r="N14" s="50">
        <f t="shared" si="4"/>
        <v>562.1153569</v>
      </c>
      <c r="O14" s="50">
        <f t="shared" si="5"/>
        <v>536.9773798</v>
      </c>
      <c r="P14" s="50">
        <f t="shared" si="6"/>
        <v>279.9267661</v>
      </c>
      <c r="Q14" s="50">
        <f t="shared" si="7"/>
        <v>267.4083523</v>
      </c>
    </row>
    <row r="15">
      <c r="A15" s="45" t="s">
        <v>120</v>
      </c>
      <c r="B15" s="45" t="s">
        <v>121</v>
      </c>
      <c r="C15" s="45" t="s">
        <v>122</v>
      </c>
      <c r="D15" s="46">
        <v>42.0</v>
      </c>
      <c r="E15" s="45">
        <v>7.0</v>
      </c>
      <c r="F15" s="47">
        <v>4.57</v>
      </c>
      <c r="G15" s="47">
        <v>2.54</v>
      </c>
      <c r="H15" s="47">
        <f t="shared" si="1"/>
        <v>1898.443011</v>
      </c>
      <c r="I15" s="47">
        <f t="shared" si="2"/>
        <v>285.6685254</v>
      </c>
      <c r="J15" s="47">
        <f t="shared" si="3"/>
        <v>2184.111537</v>
      </c>
      <c r="K15" s="48">
        <v>296.0</v>
      </c>
      <c r="L15" s="48">
        <v>320.0</v>
      </c>
      <c r="M15" s="49">
        <v>65.0</v>
      </c>
      <c r="N15" s="50">
        <f t="shared" si="4"/>
        <v>701.1986439</v>
      </c>
      <c r="O15" s="50">
        <f t="shared" si="5"/>
        <v>667.5837233</v>
      </c>
      <c r="P15" s="50">
        <f t="shared" si="6"/>
        <v>321.0452544</v>
      </c>
      <c r="Q15" s="50">
        <f t="shared" si="7"/>
        <v>305.6545932</v>
      </c>
    </row>
    <row r="16">
      <c r="A16" s="51" t="s">
        <v>123</v>
      </c>
      <c r="B16" s="45" t="s">
        <v>124</v>
      </c>
      <c r="C16" s="45" t="s">
        <v>125</v>
      </c>
      <c r="D16" s="52"/>
      <c r="E16" s="52"/>
      <c r="F16" s="53"/>
      <c r="G16" s="53"/>
      <c r="H16" s="47">
        <f t="shared" si="1"/>
        <v>0</v>
      </c>
      <c r="I16" s="47">
        <f t="shared" si="2"/>
        <v>0</v>
      </c>
      <c r="J16" s="47">
        <f t="shared" si="3"/>
        <v>0</v>
      </c>
      <c r="K16" s="48">
        <v>296.0</v>
      </c>
      <c r="L16" s="48">
        <v>320.0</v>
      </c>
      <c r="M16" s="49">
        <v>65.0</v>
      </c>
      <c r="N16" s="50">
        <f t="shared" si="4"/>
        <v>0</v>
      </c>
      <c r="O16" s="50">
        <f t="shared" si="5"/>
        <v>0</v>
      </c>
      <c r="P16" s="50" t="str">
        <f t="shared" si="6"/>
        <v>#DIV/0!</v>
      </c>
      <c r="Q16" s="50" t="str">
        <f t="shared" si="7"/>
        <v>#DIV/0!</v>
      </c>
    </row>
  </sheetData>
  <mergeCells count="16">
    <mergeCell ref="A1:A2"/>
    <mergeCell ref="B1:C1"/>
    <mergeCell ref="D1:D2"/>
    <mergeCell ref="E1:E2"/>
    <mergeCell ref="F1:F2"/>
    <mergeCell ref="G1:G2"/>
    <mergeCell ref="H1:H2"/>
    <mergeCell ref="P1:P2"/>
    <mergeCell ref="Q1:Q2"/>
    <mergeCell ref="I1:I2"/>
    <mergeCell ref="J1:J2"/>
    <mergeCell ref="K1:K2"/>
    <mergeCell ref="L1:L2"/>
    <mergeCell ref="M1:M2"/>
    <mergeCell ref="N1:N2"/>
    <mergeCell ref="O1:O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9" width="12.0"/>
  </cols>
  <sheetData>
    <row r="1">
      <c r="A1" s="54" t="s">
        <v>126</v>
      </c>
      <c r="B1" s="55" t="s">
        <v>127</v>
      </c>
      <c r="C1" s="54" t="s">
        <v>128</v>
      </c>
      <c r="D1" s="56" t="s">
        <v>129</v>
      </c>
      <c r="E1" s="54" t="s">
        <v>130</v>
      </c>
      <c r="F1" s="56" t="s">
        <v>131</v>
      </c>
      <c r="G1" s="54" t="s">
        <v>132</v>
      </c>
      <c r="H1" s="56" t="s">
        <v>133</v>
      </c>
      <c r="I1" s="56" t="s">
        <v>134</v>
      </c>
      <c r="J1" s="54" t="s">
        <v>135</v>
      </c>
      <c r="K1" s="56" t="s">
        <v>136</v>
      </c>
      <c r="L1" s="56" t="s">
        <v>137</v>
      </c>
      <c r="M1" s="54" t="s">
        <v>138</v>
      </c>
      <c r="N1" s="56" t="s">
        <v>139</v>
      </c>
      <c r="O1" s="56" t="s">
        <v>140</v>
      </c>
      <c r="P1" s="56" t="s">
        <v>141</v>
      </c>
      <c r="Q1" s="54" t="s">
        <v>142</v>
      </c>
      <c r="R1" s="56" t="s">
        <v>143</v>
      </c>
      <c r="S1" s="54" t="s">
        <v>144</v>
      </c>
      <c r="T1" s="54" t="s">
        <v>145</v>
      </c>
      <c r="U1" s="56" t="s">
        <v>146</v>
      </c>
      <c r="V1" s="56" t="s">
        <v>147</v>
      </c>
      <c r="W1" s="56" t="s">
        <v>148</v>
      </c>
      <c r="X1" s="54" t="s">
        <v>149</v>
      </c>
      <c r="Y1" s="57" t="s">
        <v>150</v>
      </c>
      <c r="Z1" s="54" t="s">
        <v>151</v>
      </c>
      <c r="AA1" s="56" t="s">
        <v>152</v>
      </c>
      <c r="AB1" s="56" t="s">
        <v>153</v>
      </c>
      <c r="AC1" s="54" t="s">
        <v>154</v>
      </c>
      <c r="AD1" s="56" t="s">
        <v>155</v>
      </c>
      <c r="AE1" s="56" t="s">
        <v>156</v>
      </c>
      <c r="AF1" s="58" t="s">
        <v>78</v>
      </c>
      <c r="AG1" s="59" t="s">
        <v>43</v>
      </c>
      <c r="AH1" s="58" t="s">
        <v>157</v>
      </c>
      <c r="AI1" s="58" t="s">
        <v>158</v>
      </c>
      <c r="AJ1" s="58" t="s">
        <v>159</v>
      </c>
      <c r="AK1" s="58" t="s">
        <v>160</v>
      </c>
      <c r="AL1" s="58" t="s">
        <v>161</v>
      </c>
      <c r="AM1" s="60" t="s">
        <v>162</v>
      </c>
      <c r="AN1" s="60" t="s">
        <v>163</v>
      </c>
      <c r="AO1" s="60" t="s">
        <v>164</v>
      </c>
      <c r="AP1" s="60" t="s">
        <v>165</v>
      </c>
      <c r="AQ1" s="60" t="s">
        <v>166</v>
      </c>
      <c r="AR1" s="60" t="s">
        <v>167</v>
      </c>
      <c r="AS1" s="60" t="s">
        <v>168</v>
      </c>
      <c r="AT1" s="56" t="s">
        <v>169</v>
      </c>
      <c r="AU1" s="56" t="s">
        <v>170</v>
      </c>
      <c r="AV1" s="56" t="s">
        <v>171</v>
      </c>
      <c r="AW1" s="61" t="s">
        <v>172</v>
      </c>
    </row>
    <row r="2" ht="16.5" customHeight="1">
      <c r="A2" s="62"/>
      <c r="B2" s="62"/>
      <c r="C2" s="62"/>
      <c r="D2" s="62"/>
      <c r="E2" s="62"/>
      <c r="F2" s="63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4"/>
      <c r="AG2" s="64"/>
      <c r="AH2" s="64"/>
      <c r="AI2" s="64"/>
      <c r="AJ2" s="64"/>
      <c r="AK2" s="64"/>
      <c r="AL2" s="64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</row>
    <row r="3" ht="16.5" customHeight="1">
      <c r="A3" s="54">
        <v>2.0</v>
      </c>
      <c r="B3" s="65">
        <v>4.0</v>
      </c>
      <c r="C3" s="66">
        <v>2.26</v>
      </c>
      <c r="D3" s="67">
        <f t="shared" ref="D3:D6" si="1">C3*C3*0.785</f>
        <v>4.009466</v>
      </c>
      <c r="E3" s="68">
        <v>2.703</v>
      </c>
      <c r="F3" s="69">
        <f t="shared" ref="F3:F6" si="2">D3*E3*1.01*A3</f>
        <v>21.89192493</v>
      </c>
      <c r="G3" s="66">
        <f t="shared" ref="G3:G6" si="3">IFS(
B3=1.5,0.7,
B3=2.5,0.7,
B3=4,0.7,
B3=6,0.7,
B3=10,0.7,
B3=16,0.7,
B3=25,0.9,
B3=35,0.9,
B3=50,1,
B3=70,1.1,
B3=95,1.1,
B3=120,1.2,
B3=150,1.4,
B3=185,1.6,
B3=240,1.7,
B3=300,1.8,
B3=400,2,
B3=500,2.2,
B3=630,2.4,
B3=800,2.6,
B3=1000,2.8
)
</f>
        <v>0.7</v>
      </c>
      <c r="H3" s="70">
        <f t="shared" ref="H3:H6" si="4">G3+G3+C3</f>
        <v>3.66</v>
      </c>
      <c r="I3" s="70">
        <f t="shared" ref="I3:I6" si="5">((H3*H3)-(C3*C3))*0.785</f>
        <v>6.50608</v>
      </c>
      <c r="J3" s="71">
        <v>0.941</v>
      </c>
      <c r="K3" s="70">
        <f t="shared" ref="K3:K6" si="6">J3*I3*A3*1.01</f>
        <v>12.36688699</v>
      </c>
      <c r="L3" s="70">
        <f t="shared" ref="L3:L6" si="7">K3*2%</f>
        <v>0.2473377397</v>
      </c>
      <c r="M3" s="66">
        <f t="shared" ref="M3:M6" si="8">IFS(
N3&lt;=25,0.3,
N3&lt;=35,0.4,
N3&lt;=45,0.5,
N3&lt;=55,0.6,
N3&lt;=100,0.7
)
</f>
        <v>0.3</v>
      </c>
      <c r="N3" s="70">
        <f t="shared" ref="N3:N6" si="9">H3*2</f>
        <v>7.32</v>
      </c>
      <c r="O3" s="70">
        <f t="shared" ref="O3:O6" si="10">M3+M3+N3</f>
        <v>7.92</v>
      </c>
      <c r="P3" s="70">
        <f t="shared" ref="P3:P6" si="11">((O3*O3*0.785)-((H3*H3*0.785)*2))</f>
        <v>28.209132</v>
      </c>
      <c r="Q3" s="68">
        <v>1.65</v>
      </c>
      <c r="R3" s="70">
        <f t="shared" ref="R3:R6" si="12">Q3*P3*1.01</f>
        <v>47.01051848</v>
      </c>
      <c r="S3" s="67" t="s">
        <v>173</v>
      </c>
      <c r="T3" s="66">
        <v>1.4</v>
      </c>
      <c r="U3" s="72">
        <v>90.0</v>
      </c>
      <c r="V3" s="67">
        <f t="shared" ref="V3:V6" si="13">(((O3+T3)*3.14)/T3)*(U3%)</f>
        <v>18.81308571</v>
      </c>
      <c r="W3" s="70">
        <f t="shared" ref="W3:W6" si="14">T3+T3+O3</f>
        <v>10.72</v>
      </c>
      <c r="X3" s="68">
        <v>7.89</v>
      </c>
      <c r="Y3" s="70">
        <f t="shared" ref="Y3:Y6" si="15">((T3*T3*0.785)*V3*1.01*X3)</f>
        <v>230.6662946</v>
      </c>
      <c r="Z3" s="66">
        <f t="shared" ref="Z3:Z6" si="16">IFS(
W3&lt;=50,1.4,
W3&lt;=95,1.56,
W3&lt;=150,1.72,
W3&lt;=240,2.04,
W3&gt;300,2.2,
W3&gt;400,2.52,
W3&gt;500,2.68,
W3&gt;630,3)</f>
        <v>1.4</v>
      </c>
      <c r="AA3" s="70">
        <f t="shared" ref="AA3:AA6" si="17">Z3+Z3+W3</f>
        <v>13.52</v>
      </c>
      <c r="AB3" s="70">
        <f t="shared" ref="AB3:AB6" si="18">((AA3*AA3*0.785)-(W3*W3*0.785))</f>
        <v>53.27952</v>
      </c>
      <c r="AC3" s="68">
        <v>1.65</v>
      </c>
      <c r="AD3" s="70">
        <f t="shared" ref="AD3:AD6" si="19">AB3*AC3*1.01</f>
        <v>88.79032008</v>
      </c>
      <c r="AE3" s="70">
        <f t="shared" ref="AE3:AE6" si="20">AD3*2%</f>
        <v>1.775806402</v>
      </c>
      <c r="AF3" s="73">
        <v>330.0</v>
      </c>
      <c r="AG3" s="73">
        <v>120.0</v>
      </c>
      <c r="AH3" s="73">
        <v>60.0</v>
      </c>
      <c r="AI3" s="73">
        <v>90.0</v>
      </c>
      <c r="AJ3" s="73">
        <v>80.0</v>
      </c>
      <c r="AK3" s="73">
        <v>80.0</v>
      </c>
      <c r="AL3" s="73">
        <v>80.0</v>
      </c>
      <c r="AM3" s="74">
        <f t="shared" ref="AM3:AM6" si="22">AF3*F3</f>
        <v>7224.335226</v>
      </c>
      <c r="AN3" s="74">
        <f t="shared" ref="AN3:AN6" si="23">(AG3*K3)</f>
        <v>1484.026438</v>
      </c>
      <c r="AO3" s="74">
        <f t="shared" ref="AO3:AO6" si="24">AH3*R3</f>
        <v>2820.631109</v>
      </c>
      <c r="AP3" s="74">
        <f t="shared" ref="AP3:AP6" si="25">AI3*Y3</f>
        <v>20759.96652</v>
      </c>
      <c r="AQ3" s="74">
        <f t="shared" ref="AQ3:AQ6" si="26">(AJ3*AD3)</f>
        <v>7103.225606</v>
      </c>
      <c r="AR3" s="74">
        <f t="shared" ref="AR3:AR6" si="27">(AE3*AL3)</f>
        <v>142.0645121</v>
      </c>
      <c r="AS3" s="74">
        <f t="shared" ref="AS3:AS6" si="28">(L3*AK3)</f>
        <v>19.78701918</v>
      </c>
      <c r="AT3" s="67">
        <f t="shared" ref="AT3:AT6" si="29">AM3+AN3+AO3+AP3+AQ3+AR3+AS3</f>
        <v>39554.03643</v>
      </c>
      <c r="AU3" s="70">
        <f t="shared" ref="AU3:AU6" si="30">AT3/1000</f>
        <v>39.55403643</v>
      </c>
      <c r="AV3" s="75">
        <f t="shared" ref="AV3:AV6" si="31">AU3*1.08</f>
        <v>42.71835934</v>
      </c>
      <c r="AW3" s="75">
        <f t="shared" ref="AW3:AW6" si="32">AV3*1.15</f>
        <v>49.12611324</v>
      </c>
    </row>
    <row r="4" ht="16.5" customHeight="1">
      <c r="A4" s="54">
        <v>2.0</v>
      </c>
      <c r="B4" s="65">
        <v>6.0</v>
      </c>
      <c r="C4" s="66">
        <v>2.76</v>
      </c>
      <c r="D4" s="67">
        <f t="shared" si="1"/>
        <v>5.979816</v>
      </c>
      <c r="E4" s="68">
        <v>2.703</v>
      </c>
      <c r="F4" s="69">
        <f t="shared" si="2"/>
        <v>32.65015415</v>
      </c>
      <c r="G4" s="66">
        <f t="shared" si="3"/>
        <v>0.7</v>
      </c>
      <c r="H4" s="70">
        <f t="shared" si="4"/>
        <v>4.16</v>
      </c>
      <c r="I4" s="70">
        <f t="shared" si="5"/>
        <v>7.60508</v>
      </c>
      <c r="J4" s="71">
        <f t="shared" ref="J4:J6" si="33">J3</f>
        <v>0.941</v>
      </c>
      <c r="K4" s="70">
        <f t="shared" si="6"/>
        <v>14.45588817</v>
      </c>
      <c r="L4" s="70">
        <f t="shared" si="7"/>
        <v>0.2891177633</v>
      </c>
      <c r="M4" s="66">
        <f t="shared" si="8"/>
        <v>0.3</v>
      </c>
      <c r="N4" s="70">
        <f t="shared" si="9"/>
        <v>8.32</v>
      </c>
      <c r="O4" s="70">
        <f t="shared" si="10"/>
        <v>8.92</v>
      </c>
      <c r="P4" s="69">
        <f t="shared" si="11"/>
        <v>35.289832</v>
      </c>
      <c r="Q4" s="68">
        <f t="shared" ref="Q4:Q6" si="34">Q3</f>
        <v>1.65</v>
      </c>
      <c r="R4" s="70">
        <f t="shared" si="12"/>
        <v>58.81050503</v>
      </c>
      <c r="S4" s="67" t="s">
        <v>173</v>
      </c>
      <c r="T4" s="66">
        <v>1.4</v>
      </c>
      <c r="U4" s="72">
        <f t="shared" ref="U4:U6" si="35">U$3</f>
        <v>90</v>
      </c>
      <c r="V4" s="67">
        <f t="shared" si="13"/>
        <v>20.83165714</v>
      </c>
      <c r="W4" s="70">
        <f t="shared" si="14"/>
        <v>11.72</v>
      </c>
      <c r="X4" s="68">
        <v>7.89</v>
      </c>
      <c r="Y4" s="70">
        <f t="shared" si="15"/>
        <v>255.4158971</v>
      </c>
      <c r="Z4" s="66">
        <f t="shared" si="16"/>
        <v>1.4</v>
      </c>
      <c r="AA4" s="70">
        <f t="shared" si="17"/>
        <v>14.52</v>
      </c>
      <c r="AB4" s="70">
        <f t="shared" si="18"/>
        <v>57.67552</v>
      </c>
      <c r="AC4" s="68">
        <v>1.65</v>
      </c>
      <c r="AD4" s="70">
        <f t="shared" si="19"/>
        <v>96.11625408</v>
      </c>
      <c r="AE4" s="70">
        <f t="shared" si="20"/>
        <v>1.922325082</v>
      </c>
      <c r="AF4" s="76">
        <f t="shared" ref="AF4:AL4" si="21">AF$3</f>
        <v>330</v>
      </c>
      <c r="AG4" s="76">
        <f t="shared" si="21"/>
        <v>120</v>
      </c>
      <c r="AH4" s="76">
        <f t="shared" si="21"/>
        <v>60</v>
      </c>
      <c r="AI4" s="76">
        <f t="shared" si="21"/>
        <v>90</v>
      </c>
      <c r="AJ4" s="76">
        <f t="shared" si="21"/>
        <v>80</v>
      </c>
      <c r="AK4" s="76">
        <f t="shared" si="21"/>
        <v>80</v>
      </c>
      <c r="AL4" s="76">
        <f t="shared" si="21"/>
        <v>80</v>
      </c>
      <c r="AM4" s="74">
        <f t="shared" si="22"/>
        <v>10774.55087</v>
      </c>
      <c r="AN4" s="74">
        <f t="shared" si="23"/>
        <v>1734.70658</v>
      </c>
      <c r="AO4" s="74">
        <f t="shared" si="24"/>
        <v>3528.630302</v>
      </c>
      <c r="AP4" s="74">
        <f t="shared" si="25"/>
        <v>22987.43074</v>
      </c>
      <c r="AQ4" s="74">
        <f t="shared" si="26"/>
        <v>7689.300326</v>
      </c>
      <c r="AR4" s="74">
        <f t="shared" si="27"/>
        <v>153.7860065</v>
      </c>
      <c r="AS4" s="74">
        <f t="shared" si="28"/>
        <v>23.12942106</v>
      </c>
      <c r="AT4" s="67">
        <f t="shared" si="29"/>
        <v>46891.53424</v>
      </c>
      <c r="AU4" s="70">
        <f t="shared" si="30"/>
        <v>46.89153424</v>
      </c>
      <c r="AV4" s="75">
        <f t="shared" si="31"/>
        <v>50.64285698</v>
      </c>
      <c r="AW4" s="75">
        <f t="shared" si="32"/>
        <v>58.23928553</v>
      </c>
    </row>
    <row r="5" ht="16.5" customHeight="1">
      <c r="A5" s="54">
        <v>2.0</v>
      </c>
      <c r="B5" s="65">
        <v>10.0</v>
      </c>
      <c r="C5" s="66">
        <v>3.56</v>
      </c>
      <c r="D5" s="67">
        <f t="shared" si="1"/>
        <v>9.948776</v>
      </c>
      <c r="E5" s="68">
        <v>2.703</v>
      </c>
      <c r="F5" s="69">
        <f t="shared" si="2"/>
        <v>54.32091389</v>
      </c>
      <c r="G5" s="66">
        <f t="shared" si="3"/>
        <v>0.7</v>
      </c>
      <c r="H5" s="70">
        <f t="shared" si="4"/>
        <v>4.96</v>
      </c>
      <c r="I5" s="70">
        <f t="shared" si="5"/>
        <v>9.36348</v>
      </c>
      <c r="J5" s="71">
        <f t="shared" si="33"/>
        <v>0.941</v>
      </c>
      <c r="K5" s="70">
        <f t="shared" si="6"/>
        <v>17.79829005</v>
      </c>
      <c r="L5" s="70">
        <f t="shared" si="7"/>
        <v>0.3559658011</v>
      </c>
      <c r="M5" s="66">
        <f t="shared" si="8"/>
        <v>0.3</v>
      </c>
      <c r="N5" s="70">
        <f t="shared" si="9"/>
        <v>9.92</v>
      </c>
      <c r="O5" s="70">
        <f t="shared" si="10"/>
        <v>10.52</v>
      </c>
      <c r="P5" s="70">
        <f t="shared" si="11"/>
        <v>48.251752</v>
      </c>
      <c r="Q5" s="68">
        <f t="shared" si="34"/>
        <v>1.65</v>
      </c>
      <c r="R5" s="70">
        <f t="shared" si="12"/>
        <v>80.41154471</v>
      </c>
      <c r="S5" s="67" t="s">
        <v>173</v>
      </c>
      <c r="T5" s="66">
        <v>1.4</v>
      </c>
      <c r="U5" s="72">
        <f t="shared" si="35"/>
        <v>90</v>
      </c>
      <c r="V5" s="67">
        <f t="shared" si="13"/>
        <v>24.06137143</v>
      </c>
      <c r="W5" s="70">
        <f t="shared" si="14"/>
        <v>13.32</v>
      </c>
      <c r="X5" s="68">
        <v>7.89</v>
      </c>
      <c r="Y5" s="70">
        <f t="shared" si="15"/>
        <v>295.0152609</v>
      </c>
      <c r="Z5" s="66">
        <f t="shared" si="16"/>
        <v>1.4</v>
      </c>
      <c r="AA5" s="70">
        <f t="shared" si="17"/>
        <v>16.12</v>
      </c>
      <c r="AB5" s="70">
        <f t="shared" si="18"/>
        <v>64.70912</v>
      </c>
      <c r="AC5" s="68">
        <v>1.65</v>
      </c>
      <c r="AD5" s="70">
        <f t="shared" si="19"/>
        <v>107.8377485</v>
      </c>
      <c r="AE5" s="70">
        <f t="shared" si="20"/>
        <v>2.15675497</v>
      </c>
      <c r="AF5" s="76">
        <f t="shared" ref="AF5:AL5" si="36">AF$3</f>
        <v>330</v>
      </c>
      <c r="AG5" s="76">
        <f t="shared" si="36"/>
        <v>120</v>
      </c>
      <c r="AH5" s="76">
        <f t="shared" si="36"/>
        <v>60</v>
      </c>
      <c r="AI5" s="76">
        <f t="shared" si="36"/>
        <v>90</v>
      </c>
      <c r="AJ5" s="76">
        <f t="shared" si="36"/>
        <v>80</v>
      </c>
      <c r="AK5" s="76">
        <f t="shared" si="36"/>
        <v>80</v>
      </c>
      <c r="AL5" s="76">
        <f t="shared" si="36"/>
        <v>80</v>
      </c>
      <c r="AM5" s="74">
        <f t="shared" si="22"/>
        <v>17925.90158</v>
      </c>
      <c r="AN5" s="74">
        <f t="shared" si="23"/>
        <v>2135.794806</v>
      </c>
      <c r="AO5" s="74">
        <f t="shared" si="24"/>
        <v>4824.692682</v>
      </c>
      <c r="AP5" s="74">
        <f t="shared" si="25"/>
        <v>26551.37349</v>
      </c>
      <c r="AQ5" s="74">
        <f t="shared" si="26"/>
        <v>8627.019878</v>
      </c>
      <c r="AR5" s="74">
        <f t="shared" si="27"/>
        <v>172.5403976</v>
      </c>
      <c r="AS5" s="74">
        <f t="shared" si="28"/>
        <v>28.47726409</v>
      </c>
      <c r="AT5" s="67">
        <f t="shared" si="29"/>
        <v>60265.8001</v>
      </c>
      <c r="AU5" s="70">
        <f t="shared" si="30"/>
        <v>60.2658001</v>
      </c>
      <c r="AV5" s="75">
        <f t="shared" si="31"/>
        <v>65.0870641</v>
      </c>
      <c r="AW5" s="75">
        <f t="shared" si="32"/>
        <v>74.85012372</v>
      </c>
    </row>
    <row r="6" ht="16.5" customHeight="1">
      <c r="A6" s="54">
        <v>2.0</v>
      </c>
      <c r="B6" s="65">
        <v>16.0</v>
      </c>
      <c r="C6" s="66">
        <v>4.5</v>
      </c>
      <c r="D6" s="67">
        <f t="shared" si="1"/>
        <v>15.89625</v>
      </c>
      <c r="E6" s="68">
        <v>2.703</v>
      </c>
      <c r="F6" s="69">
        <f t="shared" si="2"/>
        <v>86.79447878</v>
      </c>
      <c r="G6" s="66">
        <f t="shared" si="3"/>
        <v>0.7</v>
      </c>
      <c r="H6" s="70">
        <f t="shared" si="4"/>
        <v>5.9</v>
      </c>
      <c r="I6" s="70">
        <f t="shared" si="5"/>
        <v>11.4296</v>
      </c>
      <c r="J6" s="71">
        <f t="shared" si="33"/>
        <v>0.941</v>
      </c>
      <c r="K6" s="70">
        <f t="shared" si="6"/>
        <v>21.72561227</v>
      </c>
      <c r="L6" s="70">
        <f t="shared" si="7"/>
        <v>0.4345122454</v>
      </c>
      <c r="M6" s="66">
        <f t="shared" si="8"/>
        <v>0.3</v>
      </c>
      <c r="N6" s="70">
        <f t="shared" si="9"/>
        <v>11.8</v>
      </c>
      <c r="O6" s="70">
        <f t="shared" si="10"/>
        <v>12.4</v>
      </c>
      <c r="P6" s="70">
        <f t="shared" si="11"/>
        <v>66.0499</v>
      </c>
      <c r="Q6" s="68">
        <f t="shared" si="34"/>
        <v>1.65</v>
      </c>
      <c r="R6" s="70">
        <f t="shared" si="12"/>
        <v>110.0721584</v>
      </c>
      <c r="S6" s="67" t="s">
        <v>173</v>
      </c>
      <c r="T6" s="66">
        <v>1.4</v>
      </c>
      <c r="U6" s="72">
        <f t="shared" si="35"/>
        <v>90</v>
      </c>
      <c r="V6" s="67">
        <f t="shared" si="13"/>
        <v>27.85628571</v>
      </c>
      <c r="W6" s="70">
        <f t="shared" si="14"/>
        <v>15.2</v>
      </c>
      <c r="X6" s="68">
        <v>7.89</v>
      </c>
      <c r="Y6" s="70">
        <f t="shared" si="15"/>
        <v>341.5445135</v>
      </c>
      <c r="Z6" s="66">
        <f t="shared" si="16"/>
        <v>1.4</v>
      </c>
      <c r="AA6" s="70">
        <f t="shared" si="17"/>
        <v>18</v>
      </c>
      <c r="AB6" s="70">
        <f t="shared" si="18"/>
        <v>72.9736</v>
      </c>
      <c r="AC6" s="68">
        <v>1.65</v>
      </c>
      <c r="AD6" s="70">
        <f t="shared" si="19"/>
        <v>121.6105044</v>
      </c>
      <c r="AE6" s="70">
        <f t="shared" si="20"/>
        <v>2.432210088</v>
      </c>
      <c r="AF6" s="76">
        <f t="shared" ref="AF6:AL6" si="37">AF$3</f>
        <v>330</v>
      </c>
      <c r="AG6" s="76">
        <f t="shared" si="37"/>
        <v>120</v>
      </c>
      <c r="AH6" s="76">
        <f t="shared" si="37"/>
        <v>60</v>
      </c>
      <c r="AI6" s="76">
        <f t="shared" si="37"/>
        <v>90</v>
      </c>
      <c r="AJ6" s="76">
        <f t="shared" si="37"/>
        <v>80</v>
      </c>
      <c r="AK6" s="76">
        <f t="shared" si="37"/>
        <v>80</v>
      </c>
      <c r="AL6" s="76">
        <f t="shared" si="37"/>
        <v>80</v>
      </c>
      <c r="AM6" s="74">
        <f t="shared" si="22"/>
        <v>28642.178</v>
      </c>
      <c r="AN6" s="74">
        <f t="shared" si="23"/>
        <v>2607.073473</v>
      </c>
      <c r="AO6" s="74">
        <f t="shared" si="24"/>
        <v>6604.329501</v>
      </c>
      <c r="AP6" s="74">
        <f t="shared" si="25"/>
        <v>30739.00622</v>
      </c>
      <c r="AQ6" s="74">
        <f t="shared" si="26"/>
        <v>9728.840352</v>
      </c>
      <c r="AR6" s="74">
        <f t="shared" si="27"/>
        <v>194.576807</v>
      </c>
      <c r="AS6" s="74">
        <f t="shared" si="28"/>
        <v>34.76097964</v>
      </c>
      <c r="AT6" s="67">
        <f t="shared" si="29"/>
        <v>78550.76532</v>
      </c>
      <c r="AU6" s="70">
        <f t="shared" si="30"/>
        <v>78.55076532</v>
      </c>
      <c r="AV6" s="75">
        <f t="shared" si="31"/>
        <v>84.83482655</v>
      </c>
      <c r="AW6" s="75">
        <f t="shared" si="32"/>
        <v>97.56005053</v>
      </c>
    </row>
    <row r="7" ht="16.5" customHeight="1">
      <c r="A7" s="62"/>
      <c r="B7" s="62"/>
      <c r="C7" s="62"/>
      <c r="D7" s="77"/>
      <c r="E7" s="62"/>
      <c r="F7" s="63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4"/>
      <c r="AG7" s="64"/>
      <c r="AH7" s="64"/>
      <c r="AI7" s="64"/>
      <c r="AJ7" s="64"/>
      <c r="AK7" s="64"/>
      <c r="AL7" s="64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</row>
    <row r="8" ht="16.5" customHeight="1">
      <c r="A8" s="54">
        <v>3.0</v>
      </c>
      <c r="B8" s="65">
        <v>4.0</v>
      </c>
      <c r="C8" s="66">
        <v>2.26</v>
      </c>
      <c r="D8" s="67">
        <f t="shared" ref="D8:D11" si="39">C8*C8*0.785</f>
        <v>4.009466</v>
      </c>
      <c r="E8" s="68">
        <v>2.703</v>
      </c>
      <c r="F8" s="69">
        <f t="shared" ref="F8:F11" si="40">D8*E8*1.01*A8</f>
        <v>32.83788739</v>
      </c>
      <c r="G8" s="66">
        <f t="shared" ref="G8:G11" si="41">IFS(
B8=1.5,0.7,
B8=2.5,0.7,
B8=4,0.7,
B8=6,0.7,
B8=10,0.7,
B8=16,0.7,
B8=25,0.9,
B8=35,0.9,
B8=50,1,
B8=70,1.1,
B8=95,1.1,
B8=120,1.2,
B8=150,1.4,
B8=185,1.6,
B8=240,1.7,
B8=300,1.8,
B8=400,2,
B8=500,2.2,
B8=630,2.4,
B8=800,2.6,
B8=1000,2.8
)
</f>
        <v>0.7</v>
      </c>
      <c r="H8" s="70">
        <f t="shared" ref="H8:H11" si="42">G8+G8+C8</f>
        <v>3.66</v>
      </c>
      <c r="I8" s="70">
        <f t="shared" ref="I8:I11" si="43">((H8*H8)-(C8*C8))*0.785</f>
        <v>6.50608</v>
      </c>
      <c r="J8" s="71">
        <v>0.941</v>
      </c>
      <c r="K8" s="70">
        <f t="shared" ref="K8:K11" si="44">J8*I8*A8*1.01</f>
        <v>18.55033048</v>
      </c>
      <c r="L8" s="70">
        <f t="shared" ref="L8:L11" si="45">K8*2%</f>
        <v>0.3710066096</v>
      </c>
      <c r="M8" s="66">
        <f t="shared" ref="M8:M11" si="46">IFS(
N8&lt;=25,0.3,
N8&lt;=35,0.4,
N8&lt;=45,0.5,
N8&lt;=55,0.6,
N8&lt;=100,0.7
)
</f>
        <v>0.3</v>
      </c>
      <c r="N8" s="70">
        <f t="shared" ref="N8:N11" si="47">H8*2.16</f>
        <v>7.9056</v>
      </c>
      <c r="O8" s="70">
        <f t="shared" ref="O8:O11" si="48">M8+M8+N8</f>
        <v>8.5056</v>
      </c>
      <c r="P8" s="70">
        <f t="shared" ref="P8:P11" si="49">((O8*O8*0.785)-((H8*H8*0.785)*2))</f>
        <v>35.75991462</v>
      </c>
      <c r="Q8" s="68">
        <v>1.65</v>
      </c>
      <c r="R8" s="70">
        <f t="shared" ref="R8:R11" si="50">Q8*P8*1.01</f>
        <v>59.59389771</v>
      </c>
      <c r="S8" s="67" t="s">
        <v>173</v>
      </c>
      <c r="T8" s="66">
        <v>1.4</v>
      </c>
      <c r="U8" s="72">
        <f t="shared" ref="U8:U11" si="51">U$3</f>
        <v>90</v>
      </c>
      <c r="V8" s="67">
        <f t="shared" ref="V8:V11" si="52">(((O8+T8)*3.14)/T8)*(U8%)</f>
        <v>19.99516114</v>
      </c>
      <c r="W8" s="70">
        <f t="shared" ref="W8:W11" si="53">T8+T8+O8</f>
        <v>11.3056</v>
      </c>
      <c r="X8" s="68">
        <v>7.89</v>
      </c>
      <c r="Y8" s="70">
        <f t="shared" ref="Y8:Y11" si="54">((T8*T8*0.785)*V8*1.01*X8)</f>
        <v>245.1596618</v>
      </c>
      <c r="Z8" s="66">
        <f t="shared" ref="Z8:Z11" si="55">IFS(
W8&lt;=50,1.4,
W8&lt;=95,1.56,
W8&lt;=150,1.72,
W8&lt;=240,2.04,
W8&gt;300,2.2,
W8&gt;400,2.52,
W8&gt;500,2.68,
W8&gt;630,3)</f>
        <v>1.4</v>
      </c>
      <c r="AA8" s="70">
        <f t="shared" ref="AA8:AA11" si="56">Z8+Z8+W8</f>
        <v>14.1056</v>
      </c>
      <c r="AB8" s="70">
        <f t="shared" ref="AB8:AB11" si="57">((AA8*AA8*0.785)-(W8*W8*0.785))</f>
        <v>55.8538176</v>
      </c>
      <c r="AC8" s="68">
        <v>1.65</v>
      </c>
      <c r="AD8" s="70">
        <f t="shared" ref="AD8:AD11" si="58">AB8*AC8*1.01</f>
        <v>93.08038703</v>
      </c>
      <c r="AE8" s="70">
        <f t="shared" ref="AE8:AE11" si="59">AD8*2%</f>
        <v>1.861607741</v>
      </c>
      <c r="AF8" s="76">
        <f t="shared" ref="AF8:AL8" si="38">AF$3</f>
        <v>330</v>
      </c>
      <c r="AG8" s="76">
        <f t="shared" si="38"/>
        <v>120</v>
      </c>
      <c r="AH8" s="76">
        <f t="shared" si="38"/>
        <v>60</v>
      </c>
      <c r="AI8" s="76">
        <f t="shared" si="38"/>
        <v>90</v>
      </c>
      <c r="AJ8" s="76">
        <f t="shared" si="38"/>
        <v>80</v>
      </c>
      <c r="AK8" s="76">
        <f t="shared" si="38"/>
        <v>80</v>
      </c>
      <c r="AL8" s="76">
        <f t="shared" si="38"/>
        <v>80</v>
      </c>
      <c r="AM8" s="74">
        <f t="shared" ref="AM8:AM11" si="61">AF8*F8</f>
        <v>10836.50284</v>
      </c>
      <c r="AN8" s="74">
        <f t="shared" ref="AN8:AN11" si="62">(AG8*K8)</f>
        <v>2226.039657</v>
      </c>
      <c r="AO8" s="74">
        <f t="shared" ref="AO8:AO11" si="63">AH8*R8</f>
        <v>3575.633863</v>
      </c>
      <c r="AP8" s="74">
        <f t="shared" ref="AP8:AP11" si="64">AI8*Y8</f>
        <v>22064.36956</v>
      </c>
      <c r="AQ8" s="74">
        <f t="shared" ref="AQ8:AQ11" si="65">(AJ8*AD8)</f>
        <v>7446.430962</v>
      </c>
      <c r="AR8" s="74">
        <f t="shared" ref="AR8:AR11" si="66">(AE8*AL8)</f>
        <v>148.9286192</v>
      </c>
      <c r="AS8" s="74">
        <f t="shared" ref="AS8:AS11" si="67">(L8*AK8)</f>
        <v>29.68052877</v>
      </c>
      <c r="AT8" s="67">
        <f t="shared" ref="AT8:AT11" si="68">AM8+AN8+AO8+AP8+AQ8+AR8+AS8</f>
        <v>46327.58603</v>
      </c>
      <c r="AU8" s="70">
        <f t="shared" ref="AU8:AU11" si="69">AT8/1000</f>
        <v>46.32758603</v>
      </c>
      <c r="AV8" s="75">
        <f t="shared" ref="AV8:AV11" si="70">AU8*1.08</f>
        <v>50.03379292</v>
      </c>
      <c r="AW8" s="75">
        <f t="shared" ref="AW8:AW11" si="71">AV8*1.15</f>
        <v>57.53886185</v>
      </c>
    </row>
    <row r="9" ht="16.5" customHeight="1">
      <c r="A9" s="54">
        <v>3.0</v>
      </c>
      <c r="B9" s="65">
        <v>6.0</v>
      </c>
      <c r="C9" s="66">
        <v>2.76</v>
      </c>
      <c r="D9" s="67">
        <f t="shared" si="39"/>
        <v>5.979816</v>
      </c>
      <c r="E9" s="68">
        <v>2.703</v>
      </c>
      <c r="F9" s="69">
        <f t="shared" si="40"/>
        <v>48.97523122</v>
      </c>
      <c r="G9" s="66">
        <f t="shared" si="41"/>
        <v>0.7</v>
      </c>
      <c r="H9" s="70">
        <f t="shared" si="42"/>
        <v>4.16</v>
      </c>
      <c r="I9" s="70">
        <f t="shared" si="43"/>
        <v>7.60508</v>
      </c>
      <c r="J9" s="71">
        <f t="shared" ref="J9:J11" si="72">J8</f>
        <v>0.941</v>
      </c>
      <c r="K9" s="70">
        <f t="shared" si="44"/>
        <v>21.68383225</v>
      </c>
      <c r="L9" s="70">
        <f t="shared" si="45"/>
        <v>0.433676645</v>
      </c>
      <c r="M9" s="66">
        <f t="shared" si="46"/>
        <v>0.3</v>
      </c>
      <c r="N9" s="70">
        <f t="shared" si="47"/>
        <v>8.9856</v>
      </c>
      <c r="O9" s="70">
        <f t="shared" si="48"/>
        <v>9.5856</v>
      </c>
      <c r="P9" s="70">
        <f t="shared" si="49"/>
        <v>44.95893398</v>
      </c>
      <c r="Q9" s="68">
        <f t="shared" ref="Q9:Q11" si="73">Q8</f>
        <v>1.65</v>
      </c>
      <c r="R9" s="70">
        <f t="shared" si="50"/>
        <v>74.92406347</v>
      </c>
      <c r="S9" s="67" t="s">
        <v>173</v>
      </c>
      <c r="T9" s="66">
        <v>1.4</v>
      </c>
      <c r="U9" s="72">
        <f t="shared" si="51"/>
        <v>90</v>
      </c>
      <c r="V9" s="67">
        <f t="shared" si="52"/>
        <v>22.17521829</v>
      </c>
      <c r="W9" s="70">
        <f t="shared" si="53"/>
        <v>12.3856</v>
      </c>
      <c r="X9" s="68">
        <v>7.89</v>
      </c>
      <c r="Y9" s="70">
        <f t="shared" si="54"/>
        <v>271.8892324</v>
      </c>
      <c r="Z9" s="66">
        <f t="shared" si="55"/>
        <v>1.4</v>
      </c>
      <c r="AA9" s="70">
        <f t="shared" si="56"/>
        <v>15.1856</v>
      </c>
      <c r="AB9" s="70">
        <f t="shared" si="57"/>
        <v>60.6014976</v>
      </c>
      <c r="AC9" s="68">
        <v>1.65</v>
      </c>
      <c r="AD9" s="70">
        <f t="shared" si="58"/>
        <v>100.9923958</v>
      </c>
      <c r="AE9" s="70">
        <f t="shared" si="59"/>
        <v>2.019847915</v>
      </c>
      <c r="AF9" s="76">
        <f t="shared" ref="AF9:AL9" si="60">AF$3</f>
        <v>330</v>
      </c>
      <c r="AG9" s="76">
        <f t="shared" si="60"/>
        <v>120</v>
      </c>
      <c r="AH9" s="76">
        <f t="shared" si="60"/>
        <v>60</v>
      </c>
      <c r="AI9" s="76">
        <f t="shared" si="60"/>
        <v>90</v>
      </c>
      <c r="AJ9" s="76">
        <f t="shared" si="60"/>
        <v>80</v>
      </c>
      <c r="AK9" s="76">
        <f t="shared" si="60"/>
        <v>80</v>
      </c>
      <c r="AL9" s="76">
        <f t="shared" si="60"/>
        <v>80</v>
      </c>
      <c r="AM9" s="74">
        <f t="shared" si="61"/>
        <v>16161.8263</v>
      </c>
      <c r="AN9" s="74">
        <f t="shared" si="62"/>
        <v>2602.05987</v>
      </c>
      <c r="AO9" s="74">
        <f t="shared" si="63"/>
        <v>4495.443808</v>
      </c>
      <c r="AP9" s="74">
        <f t="shared" si="64"/>
        <v>24470.03092</v>
      </c>
      <c r="AQ9" s="74">
        <f t="shared" si="65"/>
        <v>8079.39166</v>
      </c>
      <c r="AR9" s="74">
        <f t="shared" si="66"/>
        <v>161.5878332</v>
      </c>
      <c r="AS9" s="74">
        <f t="shared" si="67"/>
        <v>34.6941316</v>
      </c>
      <c r="AT9" s="67">
        <f t="shared" si="68"/>
        <v>56005.03453</v>
      </c>
      <c r="AU9" s="70">
        <f t="shared" si="69"/>
        <v>56.00503453</v>
      </c>
      <c r="AV9" s="75">
        <f t="shared" si="70"/>
        <v>60.48543729</v>
      </c>
      <c r="AW9" s="75">
        <f t="shared" si="71"/>
        <v>69.55825288</v>
      </c>
    </row>
    <row r="10" ht="16.5" customHeight="1">
      <c r="A10" s="54">
        <v>3.0</v>
      </c>
      <c r="B10" s="65">
        <v>10.0</v>
      </c>
      <c r="C10" s="66">
        <v>3.56</v>
      </c>
      <c r="D10" s="67">
        <f t="shared" si="39"/>
        <v>9.948776</v>
      </c>
      <c r="E10" s="68">
        <v>2.703</v>
      </c>
      <c r="F10" s="69">
        <f t="shared" si="40"/>
        <v>81.48137083</v>
      </c>
      <c r="G10" s="66">
        <f t="shared" si="41"/>
        <v>0.7</v>
      </c>
      <c r="H10" s="70">
        <f t="shared" si="42"/>
        <v>4.96</v>
      </c>
      <c r="I10" s="70">
        <f t="shared" si="43"/>
        <v>9.36348</v>
      </c>
      <c r="J10" s="71">
        <f t="shared" si="72"/>
        <v>0.941</v>
      </c>
      <c r="K10" s="70">
        <f t="shared" si="44"/>
        <v>26.69743508</v>
      </c>
      <c r="L10" s="70">
        <f t="shared" si="45"/>
        <v>0.5339487016</v>
      </c>
      <c r="M10" s="66">
        <f t="shared" si="46"/>
        <v>0.3</v>
      </c>
      <c r="N10" s="70">
        <f t="shared" si="47"/>
        <v>10.7136</v>
      </c>
      <c r="O10" s="70">
        <f t="shared" si="48"/>
        <v>11.3136</v>
      </c>
      <c r="P10" s="70">
        <f t="shared" si="49"/>
        <v>61.85356079</v>
      </c>
      <c r="Q10" s="68">
        <f t="shared" si="73"/>
        <v>1.65</v>
      </c>
      <c r="R10" s="70">
        <f t="shared" si="50"/>
        <v>103.0789591</v>
      </c>
      <c r="S10" s="67" t="s">
        <v>173</v>
      </c>
      <c r="T10" s="66">
        <v>1.4</v>
      </c>
      <c r="U10" s="72">
        <f t="shared" si="51"/>
        <v>90</v>
      </c>
      <c r="V10" s="67">
        <f t="shared" si="52"/>
        <v>25.66330971</v>
      </c>
      <c r="W10" s="70">
        <f t="shared" si="53"/>
        <v>14.1136</v>
      </c>
      <c r="X10" s="68">
        <v>7.89</v>
      </c>
      <c r="Y10" s="70">
        <f t="shared" si="54"/>
        <v>314.6565454</v>
      </c>
      <c r="Z10" s="66">
        <f t="shared" si="55"/>
        <v>1.4</v>
      </c>
      <c r="AA10" s="70">
        <f t="shared" si="56"/>
        <v>16.9136</v>
      </c>
      <c r="AB10" s="70">
        <f t="shared" si="57"/>
        <v>68.1977856</v>
      </c>
      <c r="AC10" s="68">
        <v>1.65</v>
      </c>
      <c r="AD10" s="70">
        <f t="shared" si="58"/>
        <v>113.6516097</v>
      </c>
      <c r="AE10" s="70">
        <f t="shared" si="59"/>
        <v>2.273032194</v>
      </c>
      <c r="AF10" s="76">
        <f t="shared" ref="AF10:AL10" si="74">AF$3</f>
        <v>330</v>
      </c>
      <c r="AG10" s="76">
        <f t="shared" si="74"/>
        <v>120</v>
      </c>
      <c r="AH10" s="76">
        <f t="shared" si="74"/>
        <v>60</v>
      </c>
      <c r="AI10" s="76">
        <f t="shared" si="74"/>
        <v>90</v>
      </c>
      <c r="AJ10" s="76">
        <f t="shared" si="74"/>
        <v>80</v>
      </c>
      <c r="AK10" s="76">
        <f t="shared" si="74"/>
        <v>80</v>
      </c>
      <c r="AL10" s="76">
        <f t="shared" si="74"/>
        <v>80</v>
      </c>
      <c r="AM10" s="74">
        <f t="shared" si="61"/>
        <v>26888.85237</v>
      </c>
      <c r="AN10" s="74">
        <f t="shared" si="62"/>
        <v>3203.69221</v>
      </c>
      <c r="AO10" s="74">
        <f t="shared" si="63"/>
        <v>6184.737544</v>
      </c>
      <c r="AP10" s="74">
        <f t="shared" si="64"/>
        <v>28319.08909</v>
      </c>
      <c r="AQ10" s="74">
        <f t="shared" si="65"/>
        <v>9092.128776</v>
      </c>
      <c r="AR10" s="74">
        <f t="shared" si="66"/>
        <v>181.8425755</v>
      </c>
      <c r="AS10" s="74">
        <f t="shared" si="67"/>
        <v>42.71589613</v>
      </c>
      <c r="AT10" s="67">
        <f t="shared" si="68"/>
        <v>73913.05846</v>
      </c>
      <c r="AU10" s="70">
        <f t="shared" si="69"/>
        <v>73.91305846</v>
      </c>
      <c r="AV10" s="75">
        <f t="shared" si="70"/>
        <v>79.82610314</v>
      </c>
      <c r="AW10" s="75">
        <f t="shared" si="71"/>
        <v>91.80001861</v>
      </c>
    </row>
    <row r="11" ht="16.5" customHeight="1">
      <c r="A11" s="54">
        <v>3.0</v>
      </c>
      <c r="B11" s="65">
        <v>16.0</v>
      </c>
      <c r="C11" s="66">
        <v>4.5</v>
      </c>
      <c r="D11" s="67">
        <f t="shared" si="39"/>
        <v>15.89625</v>
      </c>
      <c r="E11" s="68">
        <v>2.703</v>
      </c>
      <c r="F11" s="69">
        <f t="shared" si="40"/>
        <v>130.1917182</v>
      </c>
      <c r="G11" s="66">
        <f t="shared" si="41"/>
        <v>0.7</v>
      </c>
      <c r="H11" s="70">
        <f t="shared" si="42"/>
        <v>5.9</v>
      </c>
      <c r="I11" s="70">
        <f t="shared" si="43"/>
        <v>11.4296</v>
      </c>
      <c r="J11" s="71">
        <f t="shared" si="72"/>
        <v>0.941</v>
      </c>
      <c r="K11" s="70">
        <f t="shared" si="44"/>
        <v>32.58841841</v>
      </c>
      <c r="L11" s="70">
        <f t="shared" si="45"/>
        <v>0.6517683682</v>
      </c>
      <c r="M11" s="66">
        <f t="shared" si="46"/>
        <v>0.3</v>
      </c>
      <c r="N11" s="70">
        <f t="shared" si="47"/>
        <v>12.744</v>
      </c>
      <c r="O11" s="70">
        <f t="shared" si="48"/>
        <v>13.344</v>
      </c>
      <c r="P11" s="70">
        <f t="shared" si="49"/>
        <v>85.12723376</v>
      </c>
      <c r="Q11" s="68">
        <f t="shared" si="73"/>
        <v>1.65</v>
      </c>
      <c r="R11" s="70">
        <f t="shared" si="50"/>
        <v>141.8645351</v>
      </c>
      <c r="S11" s="67" t="s">
        <v>173</v>
      </c>
      <c r="T11" s="66">
        <v>1.4</v>
      </c>
      <c r="U11" s="72">
        <f t="shared" si="51"/>
        <v>90</v>
      </c>
      <c r="V11" s="67">
        <f t="shared" si="52"/>
        <v>29.76181714</v>
      </c>
      <c r="W11" s="70">
        <f t="shared" si="53"/>
        <v>16.144</v>
      </c>
      <c r="X11" s="68">
        <v>7.89</v>
      </c>
      <c r="Y11" s="70">
        <f t="shared" si="54"/>
        <v>364.9081382</v>
      </c>
      <c r="Z11" s="66">
        <f t="shared" si="55"/>
        <v>1.4</v>
      </c>
      <c r="AA11" s="70">
        <f t="shared" si="56"/>
        <v>18.944</v>
      </c>
      <c r="AB11" s="70">
        <f t="shared" si="57"/>
        <v>77.123424</v>
      </c>
      <c r="AC11" s="68">
        <v>1.65</v>
      </c>
      <c r="AD11" s="70">
        <f t="shared" si="58"/>
        <v>128.5261861</v>
      </c>
      <c r="AE11" s="70">
        <f t="shared" si="59"/>
        <v>2.570523722</v>
      </c>
      <c r="AF11" s="76">
        <f t="shared" ref="AF11:AL11" si="75">AF$3</f>
        <v>330</v>
      </c>
      <c r="AG11" s="76">
        <f t="shared" si="75"/>
        <v>120</v>
      </c>
      <c r="AH11" s="76">
        <f t="shared" si="75"/>
        <v>60</v>
      </c>
      <c r="AI11" s="76">
        <f t="shared" si="75"/>
        <v>90</v>
      </c>
      <c r="AJ11" s="76">
        <f t="shared" si="75"/>
        <v>80</v>
      </c>
      <c r="AK11" s="76">
        <f t="shared" si="75"/>
        <v>80</v>
      </c>
      <c r="AL11" s="76">
        <f t="shared" si="75"/>
        <v>80</v>
      </c>
      <c r="AM11" s="74">
        <f t="shared" si="61"/>
        <v>42963.26699</v>
      </c>
      <c r="AN11" s="74">
        <f t="shared" si="62"/>
        <v>3910.610209</v>
      </c>
      <c r="AO11" s="74">
        <f t="shared" si="63"/>
        <v>8511.872104</v>
      </c>
      <c r="AP11" s="74">
        <f t="shared" si="64"/>
        <v>32841.73244</v>
      </c>
      <c r="AQ11" s="74">
        <f t="shared" si="65"/>
        <v>10282.09489</v>
      </c>
      <c r="AR11" s="74">
        <f t="shared" si="66"/>
        <v>205.6418978</v>
      </c>
      <c r="AS11" s="74">
        <f t="shared" si="67"/>
        <v>52.14146945</v>
      </c>
      <c r="AT11" s="67">
        <f t="shared" si="68"/>
        <v>98767.36</v>
      </c>
      <c r="AU11" s="70">
        <f t="shared" si="69"/>
        <v>98.76736</v>
      </c>
      <c r="AV11" s="75">
        <f t="shared" si="70"/>
        <v>106.6687488</v>
      </c>
      <c r="AW11" s="75">
        <f t="shared" si="71"/>
        <v>122.6690611</v>
      </c>
    </row>
    <row r="12" ht="16.5" customHeight="1">
      <c r="A12" s="62"/>
      <c r="B12" s="62"/>
      <c r="C12" s="62"/>
      <c r="D12" s="77"/>
      <c r="E12" s="62"/>
      <c r="F12" s="63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4"/>
      <c r="AG12" s="64"/>
      <c r="AH12" s="64"/>
      <c r="AI12" s="64"/>
      <c r="AJ12" s="64"/>
      <c r="AK12" s="64"/>
      <c r="AL12" s="64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</row>
    <row r="13" ht="16.5" customHeight="1">
      <c r="A13" s="54">
        <v>4.0</v>
      </c>
      <c r="B13" s="65">
        <v>4.0</v>
      </c>
      <c r="C13" s="66">
        <v>2.26</v>
      </c>
      <c r="D13" s="67">
        <f t="shared" ref="D13:D16" si="77">C13*C13*0.785</f>
        <v>4.009466</v>
      </c>
      <c r="E13" s="68">
        <v>2.703</v>
      </c>
      <c r="F13" s="69">
        <f t="shared" ref="F13:F16" si="78">D13*E13*1.01*A13</f>
        <v>43.78384986</v>
      </c>
      <c r="G13" s="66">
        <f t="shared" ref="G13:G16" si="79">IFS(
B13=1.5,0.7,
B13=2.5,0.7,
B13=4,0.7,
B13=6,0.7,
B13=10,0.7,
B13=16,0.7,
B13=25,0.9,
B13=35,0.9,
B13=50,1,
B13=70,1.1,
B13=95,1.1,
B13=120,1.2,
B13=150,1.4,
B13=185,1.6,
B13=240,1.7,
B13=300,1.8,
B13=400,2,
B13=500,2.2,
B13=630,2.4,
B13=800,2.6,
B13=1000,2.8
)
</f>
        <v>0.7</v>
      </c>
      <c r="H13" s="70">
        <f t="shared" ref="H13:H16" si="80">G13+G13+C13</f>
        <v>3.66</v>
      </c>
      <c r="I13" s="70">
        <f t="shared" ref="I13:I16" si="81">((H13*H13)-(C13*C13))*0.785</f>
        <v>6.50608</v>
      </c>
      <c r="J13" s="71">
        <v>0.941</v>
      </c>
      <c r="K13" s="70">
        <f t="shared" ref="K13:K16" si="82">J13*I13*A13*1.01</f>
        <v>24.73377397</v>
      </c>
      <c r="L13" s="70">
        <f t="shared" ref="L13:L16" si="83">K13*2%</f>
        <v>0.4946754794</v>
      </c>
      <c r="M13" s="66">
        <f t="shared" ref="M13:M16" si="84">IFS(
N13&lt;=25,0.3,
N13&lt;=35,0.4,
N13&lt;=45,0.5,
N13&lt;=55,0.6,
N13&lt;=100,0.7
)
</f>
        <v>0.3</v>
      </c>
      <c r="N13" s="70">
        <f t="shared" ref="N13:N16" si="85">H13*2.42</f>
        <v>8.8572</v>
      </c>
      <c r="O13" s="70">
        <f t="shared" ref="O13:O16" si="86">M13+M13+N13</f>
        <v>9.4572</v>
      </c>
      <c r="P13" s="70">
        <f t="shared" ref="P13:P16" si="87">((O13*O13*0.785)-((H13*H13*0.785)*2))</f>
        <v>49.17823399</v>
      </c>
      <c r="Q13" s="68">
        <v>1.65</v>
      </c>
      <c r="R13" s="70">
        <f t="shared" ref="R13:R16" si="88">Q13*P13*1.01</f>
        <v>81.95552695</v>
      </c>
      <c r="S13" s="67" t="s">
        <v>173</v>
      </c>
      <c r="T13" s="66">
        <v>1.4</v>
      </c>
      <c r="U13" s="72">
        <f t="shared" ref="U13:U16" si="89">U$3</f>
        <v>90</v>
      </c>
      <c r="V13" s="67">
        <f t="shared" ref="V13:V15" si="90">(((O13+T13)*3.14)/T13)*(U13%)</f>
        <v>21.91603371</v>
      </c>
      <c r="W13" s="70">
        <f t="shared" ref="W13:W16" si="91">T13+T13+O13</f>
        <v>12.2572</v>
      </c>
      <c r="X13" s="68">
        <v>7.89</v>
      </c>
      <c r="Y13" s="70">
        <f t="shared" ref="Y13:Y15" si="92">((T13*T13*0.785)*V13*1.01*X13)</f>
        <v>268.7113835</v>
      </c>
      <c r="Z13" s="66">
        <f t="shared" ref="Z13:Z16" si="93">IFS(
W13&lt;=50,1.4,
W13&lt;=95,1.56,
W13&lt;=150,1.72,
W13&lt;=240,2.04,
W13&gt;300,2.2,
W13&gt;400,2.52,
W13&gt;500,2.68,
W13&gt;630,3)</f>
        <v>1.4</v>
      </c>
      <c r="AA13" s="70">
        <f t="shared" ref="AA13:AA16" si="94">Z13+Z13+W13</f>
        <v>15.0572</v>
      </c>
      <c r="AB13" s="70">
        <f t="shared" ref="AB13:AB16" si="95">((AA13*AA13*0.785)-(W13*W13*0.785))</f>
        <v>60.0370512</v>
      </c>
      <c r="AC13" s="68">
        <v>1.65</v>
      </c>
      <c r="AD13" s="70">
        <f t="shared" ref="AD13:AD16" si="96">AB13*AC13*1.01</f>
        <v>100.0517458</v>
      </c>
      <c r="AE13" s="70">
        <f t="shared" ref="AE13:AE16" si="97">AD13*2%</f>
        <v>2.001034916</v>
      </c>
      <c r="AF13" s="76">
        <f t="shared" ref="AF13:AL13" si="76">AF$3</f>
        <v>330</v>
      </c>
      <c r="AG13" s="76">
        <f t="shared" si="76"/>
        <v>120</v>
      </c>
      <c r="AH13" s="76">
        <f t="shared" si="76"/>
        <v>60</v>
      </c>
      <c r="AI13" s="76">
        <f t="shared" si="76"/>
        <v>90</v>
      </c>
      <c r="AJ13" s="76">
        <f t="shared" si="76"/>
        <v>80</v>
      </c>
      <c r="AK13" s="76">
        <f t="shared" si="76"/>
        <v>80</v>
      </c>
      <c r="AL13" s="76">
        <f t="shared" si="76"/>
        <v>80</v>
      </c>
      <c r="AM13" s="74">
        <f t="shared" ref="AM13:AM16" si="99">AF13*F13</f>
        <v>14448.67045</v>
      </c>
      <c r="AN13" s="74">
        <f t="shared" ref="AN13:AN16" si="100">(AG13*K13)</f>
        <v>2968.052877</v>
      </c>
      <c r="AO13" s="74">
        <f t="shared" ref="AO13:AO16" si="101">AH13*R13</f>
        <v>4917.331617</v>
      </c>
      <c r="AP13" s="74">
        <f t="shared" ref="AP13:AP16" si="102">AI13*Y13</f>
        <v>24184.02451</v>
      </c>
      <c r="AQ13" s="74">
        <f t="shared" ref="AQ13:AQ16" si="103">(AJ13*AD13)</f>
        <v>8004.139666</v>
      </c>
      <c r="AR13" s="74">
        <f t="shared" ref="AR13:AR16" si="104">(AE13*AL13)</f>
        <v>160.0827933</v>
      </c>
      <c r="AS13" s="74">
        <f t="shared" ref="AS13:AS16" si="105">(L13*AK13)</f>
        <v>39.57403835</v>
      </c>
      <c r="AT13" s="67">
        <f t="shared" ref="AT13:AT16" si="106">AM13+AN13+AO13+AP13+AQ13+AR13+AS13</f>
        <v>54721.87596</v>
      </c>
      <c r="AU13" s="70">
        <f t="shared" ref="AU13:AU16" si="107">AT13/1000</f>
        <v>54.72187596</v>
      </c>
      <c r="AV13" s="75">
        <f t="shared" ref="AV13:AV16" si="108">AU13*1.08</f>
        <v>59.09962603</v>
      </c>
      <c r="AW13" s="75">
        <f t="shared" ref="AW13:AW16" si="109">AV13*1.15</f>
        <v>67.96456994</v>
      </c>
    </row>
    <row r="14" ht="16.5" customHeight="1">
      <c r="A14" s="54">
        <v>4.0</v>
      </c>
      <c r="B14" s="65">
        <v>6.0</v>
      </c>
      <c r="C14" s="66">
        <v>2.76</v>
      </c>
      <c r="D14" s="67">
        <f t="shared" si="77"/>
        <v>5.979816</v>
      </c>
      <c r="E14" s="68">
        <v>2.703</v>
      </c>
      <c r="F14" s="69">
        <f t="shared" si="78"/>
        <v>65.3003083</v>
      </c>
      <c r="G14" s="66">
        <f t="shared" si="79"/>
        <v>0.7</v>
      </c>
      <c r="H14" s="70">
        <f t="shared" si="80"/>
        <v>4.16</v>
      </c>
      <c r="I14" s="70">
        <f t="shared" si="81"/>
        <v>7.60508</v>
      </c>
      <c r="J14" s="71">
        <f t="shared" ref="J14:J16" si="110">J13</f>
        <v>0.941</v>
      </c>
      <c r="K14" s="70">
        <f t="shared" si="82"/>
        <v>28.91177633</v>
      </c>
      <c r="L14" s="70">
        <f t="shared" si="83"/>
        <v>0.5782355266</v>
      </c>
      <c r="M14" s="66">
        <f t="shared" si="84"/>
        <v>0.3</v>
      </c>
      <c r="N14" s="70">
        <f t="shared" si="85"/>
        <v>10.0672</v>
      </c>
      <c r="O14" s="70">
        <f t="shared" si="86"/>
        <v>10.6672</v>
      </c>
      <c r="P14" s="70">
        <f t="shared" si="87"/>
        <v>62.15469533</v>
      </c>
      <c r="Q14" s="68">
        <f t="shared" ref="Q14:Q16" si="111">Q13</f>
        <v>1.65</v>
      </c>
      <c r="R14" s="70">
        <f t="shared" si="88"/>
        <v>103.5807998</v>
      </c>
      <c r="S14" s="67" t="s">
        <v>173</v>
      </c>
      <c r="T14" s="66">
        <v>1.4</v>
      </c>
      <c r="U14" s="72">
        <f t="shared" si="89"/>
        <v>90</v>
      </c>
      <c r="V14" s="67">
        <f t="shared" si="90"/>
        <v>24.35850514</v>
      </c>
      <c r="W14" s="70">
        <f t="shared" si="91"/>
        <v>13.4672</v>
      </c>
      <c r="X14" s="68">
        <v>7.89</v>
      </c>
      <c r="Y14" s="70">
        <f t="shared" si="92"/>
        <v>298.6584024</v>
      </c>
      <c r="Z14" s="66">
        <f t="shared" si="93"/>
        <v>1.4</v>
      </c>
      <c r="AA14" s="70">
        <f t="shared" si="94"/>
        <v>16.2672</v>
      </c>
      <c r="AB14" s="70">
        <f t="shared" si="95"/>
        <v>65.3562112</v>
      </c>
      <c r="AC14" s="68">
        <v>1.65</v>
      </c>
      <c r="AD14" s="70">
        <f t="shared" si="96"/>
        <v>108.916126</v>
      </c>
      <c r="AE14" s="70">
        <f t="shared" si="97"/>
        <v>2.178322519</v>
      </c>
      <c r="AF14" s="76">
        <f t="shared" ref="AF14:AL14" si="98">AF$3</f>
        <v>330</v>
      </c>
      <c r="AG14" s="76">
        <f t="shared" si="98"/>
        <v>120</v>
      </c>
      <c r="AH14" s="76">
        <f t="shared" si="98"/>
        <v>60</v>
      </c>
      <c r="AI14" s="76">
        <f t="shared" si="98"/>
        <v>90</v>
      </c>
      <c r="AJ14" s="76">
        <f t="shared" si="98"/>
        <v>80</v>
      </c>
      <c r="AK14" s="76">
        <f t="shared" si="98"/>
        <v>80</v>
      </c>
      <c r="AL14" s="76">
        <f t="shared" si="98"/>
        <v>80</v>
      </c>
      <c r="AM14" s="74">
        <f t="shared" si="99"/>
        <v>21549.10174</v>
      </c>
      <c r="AN14" s="74">
        <f t="shared" si="100"/>
        <v>3469.41316</v>
      </c>
      <c r="AO14" s="74">
        <f t="shared" si="101"/>
        <v>6214.847986</v>
      </c>
      <c r="AP14" s="74">
        <f t="shared" si="102"/>
        <v>26879.25622</v>
      </c>
      <c r="AQ14" s="74">
        <f t="shared" si="103"/>
        <v>8713.290077</v>
      </c>
      <c r="AR14" s="74">
        <f t="shared" si="104"/>
        <v>174.2658015</v>
      </c>
      <c r="AS14" s="74">
        <f t="shared" si="105"/>
        <v>46.25884213</v>
      </c>
      <c r="AT14" s="67">
        <f t="shared" si="106"/>
        <v>67046.43382</v>
      </c>
      <c r="AU14" s="70">
        <f t="shared" si="107"/>
        <v>67.04643382</v>
      </c>
      <c r="AV14" s="75">
        <f t="shared" si="108"/>
        <v>72.41014853</v>
      </c>
      <c r="AW14" s="75">
        <f t="shared" si="109"/>
        <v>83.27167081</v>
      </c>
    </row>
    <row r="15" ht="16.5" customHeight="1">
      <c r="A15" s="54">
        <v>4.0</v>
      </c>
      <c r="B15" s="65">
        <v>10.0</v>
      </c>
      <c r="C15" s="66">
        <v>3.56</v>
      </c>
      <c r="D15" s="67">
        <f t="shared" si="77"/>
        <v>9.948776</v>
      </c>
      <c r="E15" s="68">
        <v>2.703</v>
      </c>
      <c r="F15" s="69">
        <f t="shared" si="78"/>
        <v>108.6418278</v>
      </c>
      <c r="G15" s="66">
        <f t="shared" si="79"/>
        <v>0.7</v>
      </c>
      <c r="H15" s="70">
        <f t="shared" si="80"/>
        <v>4.96</v>
      </c>
      <c r="I15" s="70">
        <f t="shared" si="81"/>
        <v>9.36348</v>
      </c>
      <c r="J15" s="71">
        <f t="shared" si="110"/>
        <v>0.941</v>
      </c>
      <c r="K15" s="70">
        <f t="shared" si="82"/>
        <v>35.59658011</v>
      </c>
      <c r="L15" s="70">
        <f t="shared" si="83"/>
        <v>0.7119316021</v>
      </c>
      <c r="M15" s="66">
        <f t="shared" si="84"/>
        <v>0.3</v>
      </c>
      <c r="N15" s="70">
        <f t="shared" si="85"/>
        <v>12.0032</v>
      </c>
      <c r="O15" s="70">
        <f t="shared" si="86"/>
        <v>12.6032</v>
      </c>
      <c r="P15" s="70">
        <f t="shared" si="87"/>
        <v>86.06539844</v>
      </c>
      <c r="Q15" s="68">
        <f t="shared" si="111"/>
        <v>1.65</v>
      </c>
      <c r="R15" s="70">
        <f t="shared" si="88"/>
        <v>143.4279865</v>
      </c>
      <c r="S15" s="67" t="s">
        <v>173</v>
      </c>
      <c r="T15" s="66">
        <v>1.4</v>
      </c>
      <c r="U15" s="72">
        <f t="shared" si="89"/>
        <v>90</v>
      </c>
      <c r="V15" s="67">
        <f t="shared" si="90"/>
        <v>28.26645943</v>
      </c>
      <c r="W15" s="70">
        <f t="shared" si="91"/>
        <v>15.4032</v>
      </c>
      <c r="X15" s="68">
        <v>7.89</v>
      </c>
      <c r="Y15" s="70">
        <f t="shared" si="92"/>
        <v>346.5736327</v>
      </c>
      <c r="Z15" s="66">
        <f t="shared" si="93"/>
        <v>1.4</v>
      </c>
      <c r="AA15" s="70">
        <f t="shared" si="94"/>
        <v>18.2032</v>
      </c>
      <c r="AB15" s="70">
        <f t="shared" si="95"/>
        <v>73.8668672</v>
      </c>
      <c r="AC15" s="68">
        <v>1.65</v>
      </c>
      <c r="AD15" s="70">
        <f t="shared" si="96"/>
        <v>123.0991342</v>
      </c>
      <c r="AE15" s="70">
        <f t="shared" si="97"/>
        <v>2.461982684</v>
      </c>
      <c r="AF15" s="76">
        <f t="shared" ref="AF15:AL15" si="112">AF$3</f>
        <v>330</v>
      </c>
      <c r="AG15" s="76">
        <f t="shared" si="112"/>
        <v>120</v>
      </c>
      <c r="AH15" s="76">
        <f t="shared" si="112"/>
        <v>60</v>
      </c>
      <c r="AI15" s="76">
        <f t="shared" si="112"/>
        <v>90</v>
      </c>
      <c r="AJ15" s="76">
        <f t="shared" si="112"/>
        <v>80</v>
      </c>
      <c r="AK15" s="76">
        <f t="shared" si="112"/>
        <v>80</v>
      </c>
      <c r="AL15" s="76">
        <f t="shared" si="112"/>
        <v>80</v>
      </c>
      <c r="AM15" s="74">
        <f t="shared" si="99"/>
        <v>35851.80317</v>
      </c>
      <c r="AN15" s="74">
        <f t="shared" si="100"/>
        <v>4271.589613</v>
      </c>
      <c r="AO15" s="74">
        <f t="shared" si="101"/>
        <v>8605.67919</v>
      </c>
      <c r="AP15" s="74">
        <f t="shared" si="102"/>
        <v>31191.62695</v>
      </c>
      <c r="AQ15" s="74">
        <f t="shared" si="103"/>
        <v>9847.930735</v>
      </c>
      <c r="AR15" s="74">
        <f t="shared" si="104"/>
        <v>196.9586147</v>
      </c>
      <c r="AS15" s="74">
        <f t="shared" si="105"/>
        <v>56.95452817</v>
      </c>
      <c r="AT15" s="67">
        <f t="shared" si="106"/>
        <v>90022.54279</v>
      </c>
      <c r="AU15" s="70">
        <f t="shared" si="107"/>
        <v>90.02254279</v>
      </c>
      <c r="AV15" s="75">
        <f t="shared" si="108"/>
        <v>97.22434621</v>
      </c>
      <c r="AW15" s="75">
        <f t="shared" si="109"/>
        <v>111.8079981</v>
      </c>
    </row>
    <row r="16" ht="16.5" customHeight="1">
      <c r="A16" s="54">
        <v>4.0</v>
      </c>
      <c r="B16" s="65">
        <v>16.0</v>
      </c>
      <c r="C16" s="66">
        <v>4.5</v>
      </c>
      <c r="D16" s="67">
        <f t="shared" si="77"/>
        <v>15.89625</v>
      </c>
      <c r="E16" s="68">
        <v>2.703</v>
      </c>
      <c r="F16" s="69">
        <f t="shared" si="78"/>
        <v>173.5889576</v>
      </c>
      <c r="G16" s="66">
        <f t="shared" si="79"/>
        <v>0.7</v>
      </c>
      <c r="H16" s="70">
        <f t="shared" si="80"/>
        <v>5.9</v>
      </c>
      <c r="I16" s="70">
        <f t="shared" si="81"/>
        <v>11.4296</v>
      </c>
      <c r="J16" s="71">
        <f t="shared" si="110"/>
        <v>0.941</v>
      </c>
      <c r="K16" s="70">
        <f t="shared" si="82"/>
        <v>43.45122454</v>
      </c>
      <c r="L16" s="70">
        <f t="shared" si="83"/>
        <v>0.8690244909</v>
      </c>
      <c r="M16" s="66">
        <f t="shared" si="84"/>
        <v>0.3</v>
      </c>
      <c r="N16" s="70">
        <f t="shared" si="85"/>
        <v>14.278</v>
      </c>
      <c r="O16" s="70">
        <f t="shared" si="86"/>
        <v>14.878</v>
      </c>
      <c r="P16" s="70">
        <f t="shared" si="87"/>
        <v>119.1118839</v>
      </c>
      <c r="Q16" s="68">
        <f t="shared" si="111"/>
        <v>1.65</v>
      </c>
      <c r="R16" s="70">
        <f t="shared" si="88"/>
        <v>198.4999546</v>
      </c>
      <c r="S16" s="67" t="s">
        <v>174</v>
      </c>
      <c r="T16" s="66">
        <v>0.8</v>
      </c>
      <c r="U16" s="72">
        <f t="shared" si="89"/>
        <v>90</v>
      </c>
      <c r="V16" s="67">
        <f>((O16*3.14)/4)*(U16%)</f>
        <v>10.511307</v>
      </c>
      <c r="W16" s="70">
        <f t="shared" si="91"/>
        <v>16.478</v>
      </c>
      <c r="X16" s="68">
        <v>7.89</v>
      </c>
      <c r="Y16" s="70">
        <f>((T16*4)*V16*1.01*X16)</f>
        <v>268.0433739</v>
      </c>
      <c r="Z16" s="66">
        <f t="shared" si="93"/>
        <v>1.4</v>
      </c>
      <c r="AA16" s="70">
        <f t="shared" si="94"/>
        <v>19.278</v>
      </c>
      <c r="AB16" s="70">
        <f t="shared" si="95"/>
        <v>78.591688</v>
      </c>
      <c r="AC16" s="68">
        <v>1.65</v>
      </c>
      <c r="AD16" s="70">
        <f t="shared" si="96"/>
        <v>130.9730481</v>
      </c>
      <c r="AE16" s="70">
        <f t="shared" si="97"/>
        <v>2.619460961</v>
      </c>
      <c r="AF16" s="76">
        <f t="shared" ref="AF16:AL16" si="113">AF$3</f>
        <v>330</v>
      </c>
      <c r="AG16" s="76">
        <f t="shared" si="113"/>
        <v>120</v>
      </c>
      <c r="AH16" s="76">
        <f t="shared" si="113"/>
        <v>60</v>
      </c>
      <c r="AI16" s="76">
        <f t="shared" si="113"/>
        <v>90</v>
      </c>
      <c r="AJ16" s="76">
        <f t="shared" si="113"/>
        <v>80</v>
      </c>
      <c r="AK16" s="76">
        <f t="shared" si="113"/>
        <v>80</v>
      </c>
      <c r="AL16" s="76">
        <f t="shared" si="113"/>
        <v>80</v>
      </c>
      <c r="AM16" s="74">
        <f t="shared" si="99"/>
        <v>57284.35599</v>
      </c>
      <c r="AN16" s="74">
        <f t="shared" si="100"/>
        <v>5214.146945</v>
      </c>
      <c r="AO16" s="74">
        <f t="shared" si="101"/>
        <v>11909.99728</v>
      </c>
      <c r="AP16" s="74">
        <f t="shared" si="102"/>
        <v>24123.90365</v>
      </c>
      <c r="AQ16" s="74">
        <f t="shared" si="103"/>
        <v>10477.84384</v>
      </c>
      <c r="AR16" s="74">
        <f t="shared" si="104"/>
        <v>209.5568769</v>
      </c>
      <c r="AS16" s="74">
        <f t="shared" si="105"/>
        <v>69.52195927</v>
      </c>
      <c r="AT16" s="67">
        <f t="shared" si="106"/>
        <v>109289.3265</v>
      </c>
      <c r="AU16" s="70">
        <f t="shared" si="107"/>
        <v>109.2893265</v>
      </c>
      <c r="AV16" s="75">
        <f t="shared" si="108"/>
        <v>118.0324727</v>
      </c>
      <c r="AW16" s="75">
        <f t="shared" si="109"/>
        <v>135.7373436</v>
      </c>
    </row>
    <row r="17" ht="16.5" customHeight="1">
      <c r="A17" s="62"/>
      <c r="B17" s="62"/>
      <c r="C17" s="62"/>
      <c r="D17" s="62"/>
      <c r="E17" s="62"/>
      <c r="F17" s="63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4"/>
      <c r="AG17" s="64"/>
      <c r="AH17" s="64"/>
      <c r="AI17" s="64"/>
      <c r="AJ17" s="64"/>
      <c r="AK17" s="64"/>
      <c r="AL17" s="64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</row>
    <row r="18" ht="16.5" customHeight="1">
      <c r="A18" s="78"/>
      <c r="B18" s="78"/>
      <c r="C18" s="62"/>
      <c r="D18" s="62"/>
      <c r="E18" s="62"/>
      <c r="F18" s="63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4"/>
      <c r="AG18" s="64"/>
      <c r="AH18" s="64"/>
      <c r="AI18" s="64"/>
      <c r="AJ18" s="64"/>
      <c r="AK18" s="64"/>
      <c r="AL18" s="64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</row>
    <row r="19" ht="16.5" customHeight="1">
      <c r="A19" s="62"/>
      <c r="B19" s="62"/>
      <c r="C19" s="62"/>
      <c r="D19" s="62"/>
      <c r="E19" s="62"/>
      <c r="F19" s="63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4"/>
      <c r="AG19" s="64"/>
      <c r="AH19" s="64"/>
      <c r="AI19" s="64"/>
      <c r="AJ19" s="64"/>
      <c r="AK19" s="64"/>
      <c r="AL19" s="64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</row>
    <row r="20" ht="16.5" customHeight="1">
      <c r="A20" s="62"/>
      <c r="B20" s="62"/>
      <c r="C20" s="62"/>
      <c r="D20" s="62"/>
      <c r="E20" s="62"/>
      <c r="F20" s="63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4"/>
      <c r="AG20" s="64"/>
      <c r="AH20" s="64"/>
      <c r="AI20" s="64"/>
      <c r="AJ20" s="64"/>
      <c r="AK20" s="64"/>
      <c r="AL20" s="64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</row>
    <row r="21" ht="16.5" customHeight="1">
      <c r="A21" s="62"/>
      <c r="B21" s="62"/>
      <c r="C21" s="62"/>
      <c r="D21" s="62"/>
      <c r="E21" s="62"/>
      <c r="F21" s="63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4"/>
      <c r="AG21" s="64"/>
      <c r="AH21" s="64"/>
      <c r="AI21" s="64"/>
      <c r="AJ21" s="64"/>
      <c r="AK21" s="64"/>
      <c r="AL21" s="64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</row>
    <row r="22" ht="16.5" customHeight="1">
      <c r="A22" s="62"/>
      <c r="B22" s="62"/>
      <c r="C22" s="62"/>
      <c r="D22" s="62"/>
      <c r="E22" s="62"/>
      <c r="F22" s="63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4"/>
      <c r="AG22" s="64"/>
      <c r="AH22" s="64"/>
      <c r="AI22" s="64"/>
      <c r="AJ22" s="64"/>
      <c r="AK22" s="64"/>
      <c r="AL22" s="64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</row>
    <row r="23" ht="16.5" customHeight="1">
      <c r="A23" s="62"/>
      <c r="B23" s="62"/>
      <c r="C23" s="62"/>
      <c r="D23" s="62"/>
      <c r="E23" s="62"/>
      <c r="F23" s="63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4"/>
      <c r="AG23" s="64"/>
      <c r="AH23" s="64"/>
      <c r="AI23" s="64"/>
      <c r="AJ23" s="64"/>
      <c r="AK23" s="64"/>
      <c r="AL23" s="64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</row>
    <row r="24" ht="16.5" customHeight="1">
      <c r="A24" s="62"/>
      <c r="B24" s="62"/>
      <c r="C24" s="62"/>
      <c r="D24" s="62"/>
      <c r="E24" s="62"/>
      <c r="F24" s="63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4"/>
      <c r="AG24" s="64"/>
      <c r="AH24" s="64"/>
      <c r="AI24" s="64"/>
      <c r="AJ24" s="64"/>
      <c r="AK24" s="64"/>
      <c r="AL24" s="64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</row>
    <row r="25" ht="16.5" customHeight="1">
      <c r="A25" s="62"/>
      <c r="B25" s="62"/>
      <c r="C25" s="62"/>
      <c r="D25" s="62"/>
      <c r="E25" s="62"/>
      <c r="F25" s="63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4"/>
      <c r="AG25" s="64"/>
      <c r="AH25" s="64"/>
      <c r="AI25" s="64"/>
      <c r="AJ25" s="64"/>
      <c r="AK25" s="64"/>
      <c r="AL25" s="64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</row>
    <row r="26" ht="16.5" customHeight="1">
      <c r="A26" s="62"/>
      <c r="B26" s="62"/>
      <c r="C26" s="62"/>
      <c r="D26" s="62"/>
      <c r="E26" s="62"/>
      <c r="F26" s="63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4"/>
      <c r="AG26" s="64"/>
      <c r="AH26" s="64"/>
      <c r="AI26" s="64"/>
      <c r="AJ26" s="64"/>
      <c r="AK26" s="64"/>
      <c r="AL26" s="64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</row>
    <row r="27" ht="16.5" customHeight="1">
      <c r="A27" s="62"/>
      <c r="B27" s="62"/>
      <c r="C27" s="62"/>
      <c r="D27" s="62"/>
      <c r="E27" s="62"/>
      <c r="F27" s="63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4"/>
      <c r="AG27" s="64"/>
      <c r="AH27" s="64"/>
      <c r="AI27" s="64"/>
      <c r="AJ27" s="64"/>
      <c r="AK27" s="64"/>
      <c r="AL27" s="64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</row>
    <row r="28" ht="16.5" customHeight="1">
      <c r="A28" s="62"/>
      <c r="B28" s="62"/>
      <c r="C28" s="62"/>
      <c r="D28" s="62"/>
      <c r="E28" s="62"/>
      <c r="F28" s="63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4"/>
      <c r="AG28" s="64"/>
      <c r="AH28" s="64"/>
      <c r="AI28" s="64"/>
      <c r="AJ28" s="64"/>
      <c r="AK28" s="64"/>
      <c r="AL28" s="64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</row>
    <row r="29" ht="16.5" customHeight="1">
      <c r="A29" s="62"/>
      <c r="B29" s="62"/>
      <c r="C29" s="62"/>
      <c r="D29" s="62"/>
      <c r="E29" s="62"/>
      <c r="F29" s="63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4"/>
      <c r="AG29" s="64"/>
      <c r="AH29" s="64"/>
      <c r="AI29" s="64"/>
      <c r="AJ29" s="64"/>
      <c r="AK29" s="64"/>
      <c r="AL29" s="64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</row>
    <row r="30" ht="16.5" customHeight="1">
      <c r="A30" s="62"/>
      <c r="B30" s="62"/>
      <c r="C30" s="62"/>
      <c r="D30" s="62"/>
      <c r="E30" s="62"/>
      <c r="F30" s="63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4"/>
      <c r="AG30" s="64"/>
      <c r="AH30" s="64"/>
      <c r="AI30" s="64"/>
      <c r="AJ30" s="64"/>
      <c r="AK30" s="64"/>
      <c r="AL30" s="64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</row>
    <row r="31" ht="16.5" customHeight="1">
      <c r="A31" s="62"/>
      <c r="B31" s="62"/>
      <c r="C31" s="62"/>
      <c r="D31" s="62"/>
      <c r="E31" s="62"/>
      <c r="F31" s="63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4"/>
      <c r="AG31" s="64"/>
      <c r="AH31" s="64"/>
      <c r="AI31" s="64"/>
      <c r="AJ31" s="64"/>
      <c r="AK31" s="64"/>
      <c r="AL31" s="64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</row>
    <row r="32" ht="16.5" customHeight="1">
      <c r="A32" s="62"/>
      <c r="B32" s="62"/>
      <c r="C32" s="62"/>
      <c r="D32" s="62"/>
      <c r="E32" s="62"/>
      <c r="F32" s="63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4"/>
      <c r="AG32" s="64"/>
      <c r="AH32" s="64"/>
      <c r="AI32" s="64"/>
      <c r="AJ32" s="64"/>
      <c r="AK32" s="64"/>
      <c r="AL32" s="64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</row>
    <row r="33" ht="16.5" customHeight="1">
      <c r="A33" s="62"/>
      <c r="B33" s="62"/>
      <c r="C33" s="62"/>
      <c r="D33" s="62"/>
      <c r="E33" s="62"/>
      <c r="F33" s="63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4"/>
      <c r="AG33" s="64"/>
      <c r="AH33" s="64"/>
      <c r="AI33" s="64"/>
      <c r="AJ33" s="64"/>
      <c r="AK33" s="64"/>
      <c r="AL33" s="64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</row>
    <row r="34" ht="16.5" customHeight="1">
      <c r="A34" s="62"/>
      <c r="B34" s="62"/>
      <c r="C34" s="62"/>
      <c r="D34" s="62"/>
      <c r="E34" s="62"/>
      <c r="F34" s="63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4"/>
      <c r="AG34" s="64"/>
      <c r="AH34" s="64"/>
      <c r="AI34" s="64"/>
      <c r="AJ34" s="64"/>
      <c r="AK34" s="64"/>
      <c r="AL34" s="64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</row>
    <row r="35" ht="16.5" customHeight="1">
      <c r="A35" s="62"/>
      <c r="B35" s="62"/>
      <c r="C35" s="62"/>
      <c r="D35" s="62"/>
      <c r="E35" s="62"/>
      <c r="F35" s="63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4"/>
      <c r="AG35" s="64"/>
      <c r="AH35" s="64"/>
      <c r="AI35" s="64"/>
      <c r="AJ35" s="64"/>
      <c r="AK35" s="64"/>
      <c r="AL35" s="64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</row>
    <row r="36" ht="16.5" customHeight="1">
      <c r="A36" s="62"/>
      <c r="B36" s="62"/>
      <c r="C36" s="62"/>
      <c r="D36" s="62"/>
      <c r="E36" s="62"/>
      <c r="F36" s="63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4"/>
      <c r="AG36" s="64"/>
      <c r="AH36" s="64"/>
      <c r="AI36" s="64"/>
      <c r="AJ36" s="64"/>
      <c r="AK36" s="64"/>
      <c r="AL36" s="64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</row>
    <row r="37" ht="16.5" customHeight="1">
      <c r="A37" s="62"/>
      <c r="B37" s="62"/>
      <c r="C37" s="62"/>
      <c r="D37" s="62"/>
      <c r="E37" s="62"/>
      <c r="F37" s="63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4"/>
      <c r="AG37" s="64"/>
      <c r="AH37" s="64"/>
      <c r="AI37" s="64"/>
      <c r="AJ37" s="64"/>
      <c r="AK37" s="64"/>
      <c r="AL37" s="64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</row>
    <row r="38" ht="16.5" customHeight="1">
      <c r="A38" s="62"/>
      <c r="B38" s="62"/>
      <c r="C38" s="62"/>
      <c r="D38" s="62"/>
      <c r="E38" s="62"/>
      <c r="F38" s="63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4"/>
      <c r="AG38" s="64"/>
      <c r="AH38" s="64"/>
      <c r="AI38" s="64"/>
      <c r="AJ38" s="64"/>
      <c r="AK38" s="64"/>
      <c r="AL38" s="64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</row>
    <row r="39" ht="16.5" customHeight="1">
      <c r="A39" s="62"/>
      <c r="B39" s="62"/>
      <c r="C39" s="62"/>
      <c r="D39" s="62"/>
      <c r="E39" s="62"/>
      <c r="F39" s="63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4"/>
      <c r="AG39" s="64"/>
      <c r="AH39" s="64"/>
      <c r="AI39" s="64"/>
      <c r="AJ39" s="64"/>
      <c r="AK39" s="64"/>
      <c r="AL39" s="64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</row>
    <row r="40" ht="16.5" customHeight="1">
      <c r="A40" s="62"/>
      <c r="B40" s="62"/>
      <c r="C40" s="62"/>
      <c r="D40" s="62"/>
      <c r="E40" s="62"/>
      <c r="F40" s="63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4"/>
      <c r="AG40" s="64"/>
      <c r="AH40" s="64"/>
      <c r="AI40" s="64"/>
      <c r="AJ40" s="64"/>
      <c r="AK40" s="64"/>
      <c r="AL40" s="64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</row>
    <row r="41" ht="16.5" customHeight="1">
      <c r="A41" s="62"/>
      <c r="B41" s="62"/>
      <c r="C41" s="62"/>
      <c r="D41" s="62"/>
      <c r="E41" s="62"/>
      <c r="F41" s="63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4"/>
      <c r="AG41" s="64"/>
      <c r="AH41" s="64"/>
      <c r="AI41" s="64"/>
      <c r="AJ41" s="64"/>
      <c r="AK41" s="64"/>
      <c r="AL41" s="64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</row>
    <row r="42" ht="16.5" customHeight="1">
      <c r="A42" s="62"/>
      <c r="B42" s="62"/>
      <c r="C42" s="62"/>
      <c r="D42" s="62"/>
      <c r="E42" s="62"/>
      <c r="F42" s="63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4"/>
      <c r="AG42" s="64"/>
      <c r="AH42" s="64"/>
      <c r="AI42" s="64"/>
      <c r="AJ42" s="64"/>
      <c r="AK42" s="64"/>
      <c r="AL42" s="64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</row>
    <row r="43" ht="16.5" customHeight="1">
      <c r="A43" s="62"/>
      <c r="B43" s="62"/>
      <c r="C43" s="62"/>
      <c r="D43" s="62"/>
      <c r="E43" s="62"/>
      <c r="F43" s="63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4"/>
      <c r="AG43" s="64"/>
      <c r="AH43" s="64"/>
      <c r="AI43" s="64"/>
      <c r="AJ43" s="64"/>
      <c r="AK43" s="64"/>
      <c r="AL43" s="64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</row>
    <row r="44" ht="16.5" customHeight="1">
      <c r="A44" s="62"/>
      <c r="B44" s="62"/>
      <c r="C44" s="62"/>
      <c r="D44" s="62"/>
      <c r="E44" s="62"/>
      <c r="F44" s="63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4"/>
      <c r="AG44" s="64"/>
      <c r="AH44" s="64"/>
      <c r="AI44" s="64"/>
      <c r="AJ44" s="64"/>
      <c r="AK44" s="64"/>
      <c r="AL44" s="64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</row>
    <row r="45" ht="16.5" customHeight="1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4"/>
      <c r="AG45" s="64"/>
      <c r="AH45" s="64"/>
      <c r="AI45" s="64"/>
      <c r="AJ45" s="64"/>
      <c r="AK45" s="64"/>
      <c r="AL45" s="64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</row>
    <row r="46" ht="16.5" customHeight="1">
      <c r="A46" s="62"/>
      <c r="B46" s="62"/>
      <c r="C46" s="62"/>
      <c r="D46" s="62"/>
      <c r="E46" s="62"/>
      <c r="F46" s="63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4"/>
      <c r="AG46" s="64"/>
      <c r="AH46" s="64"/>
      <c r="AI46" s="64"/>
      <c r="AJ46" s="64"/>
      <c r="AK46" s="64"/>
      <c r="AL46" s="64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</row>
    <row r="47" ht="16.5" customHeight="1">
      <c r="A47" s="62"/>
      <c r="B47" s="62"/>
      <c r="C47" s="62"/>
      <c r="D47" s="62"/>
      <c r="E47" s="62"/>
      <c r="F47" s="63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4"/>
      <c r="AG47" s="64"/>
      <c r="AH47" s="64"/>
      <c r="AI47" s="64"/>
      <c r="AJ47" s="64"/>
      <c r="AK47" s="64"/>
      <c r="AL47" s="64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</row>
    <row r="48" ht="16.5" customHeight="1">
      <c r="A48" s="62"/>
      <c r="B48" s="62"/>
      <c r="C48" s="62"/>
      <c r="D48" s="62"/>
      <c r="E48" s="62"/>
      <c r="F48" s="63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4"/>
      <c r="AG48" s="64"/>
      <c r="AH48" s="64"/>
      <c r="AI48" s="64"/>
      <c r="AJ48" s="64"/>
      <c r="AK48" s="64"/>
      <c r="AL48" s="64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</row>
    <row r="49" ht="16.5" customHeight="1">
      <c r="A49" s="62"/>
      <c r="B49" s="62"/>
      <c r="C49" s="62"/>
      <c r="D49" s="62"/>
      <c r="E49" s="62"/>
      <c r="F49" s="63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4"/>
      <c r="AG49" s="64"/>
      <c r="AH49" s="64"/>
      <c r="AI49" s="64"/>
      <c r="AJ49" s="64"/>
      <c r="AK49" s="64"/>
      <c r="AL49" s="64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</row>
    <row r="50" ht="16.5" customHeight="1">
      <c r="A50" s="62"/>
      <c r="B50" s="62"/>
      <c r="C50" s="62"/>
      <c r="D50" s="62"/>
      <c r="E50" s="62"/>
      <c r="F50" s="63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4"/>
      <c r="AG50" s="64"/>
      <c r="AH50" s="64"/>
      <c r="AI50" s="64"/>
      <c r="AJ50" s="64"/>
      <c r="AK50" s="64"/>
      <c r="AL50" s="64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</row>
    <row r="51" ht="16.5" customHeight="1">
      <c r="A51" s="62"/>
      <c r="B51" s="62"/>
      <c r="C51" s="62"/>
      <c r="D51" s="62"/>
      <c r="E51" s="62"/>
      <c r="F51" s="63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4"/>
      <c r="AG51" s="64"/>
      <c r="AH51" s="64"/>
      <c r="AI51" s="64"/>
      <c r="AJ51" s="64"/>
      <c r="AK51" s="64"/>
      <c r="AL51" s="64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</row>
    <row r="52" ht="16.5" customHeight="1">
      <c r="A52" s="62"/>
      <c r="B52" s="62"/>
      <c r="C52" s="62"/>
      <c r="D52" s="62"/>
      <c r="E52" s="62"/>
      <c r="F52" s="63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4"/>
      <c r="AG52" s="64"/>
      <c r="AH52" s="64"/>
      <c r="AI52" s="64"/>
      <c r="AJ52" s="64"/>
      <c r="AK52" s="64"/>
      <c r="AL52" s="64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</row>
    <row r="53" ht="16.5" customHeight="1">
      <c r="A53" s="62"/>
      <c r="B53" s="62"/>
      <c r="C53" s="62"/>
      <c r="D53" s="62"/>
      <c r="E53" s="62"/>
      <c r="F53" s="63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4"/>
      <c r="AG53" s="64"/>
      <c r="AH53" s="64"/>
      <c r="AI53" s="64"/>
      <c r="AJ53" s="64"/>
      <c r="AK53" s="64"/>
      <c r="AL53" s="64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</row>
    <row r="54" ht="16.5" customHeight="1">
      <c r="A54" s="62"/>
      <c r="B54" s="62"/>
      <c r="C54" s="62"/>
      <c r="D54" s="62"/>
      <c r="E54" s="62"/>
      <c r="F54" s="63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4"/>
      <c r="AG54" s="64"/>
      <c r="AH54" s="64"/>
      <c r="AI54" s="64"/>
      <c r="AJ54" s="64"/>
      <c r="AK54" s="64"/>
      <c r="AL54" s="64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</row>
    <row r="55" ht="16.5" customHeight="1">
      <c r="A55" s="62"/>
      <c r="B55" s="62"/>
      <c r="C55" s="62"/>
      <c r="D55" s="62"/>
      <c r="E55" s="62"/>
      <c r="F55" s="63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4"/>
      <c r="AG55" s="64"/>
      <c r="AH55" s="64"/>
      <c r="AI55" s="64"/>
      <c r="AJ55" s="64"/>
      <c r="AK55" s="64"/>
      <c r="AL55" s="64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</row>
    <row r="56" ht="16.5" customHeight="1">
      <c r="A56" s="62"/>
      <c r="B56" s="62"/>
      <c r="C56" s="62"/>
      <c r="D56" s="62"/>
      <c r="E56" s="62"/>
      <c r="F56" s="63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4"/>
      <c r="AG56" s="64"/>
      <c r="AH56" s="64"/>
      <c r="AI56" s="64"/>
      <c r="AJ56" s="64"/>
      <c r="AK56" s="64"/>
      <c r="AL56" s="64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</row>
    <row r="57" ht="16.5" customHeight="1">
      <c r="A57" s="62"/>
      <c r="B57" s="62"/>
      <c r="C57" s="62"/>
      <c r="D57" s="62"/>
      <c r="E57" s="62"/>
      <c r="F57" s="63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4"/>
      <c r="AG57" s="64"/>
      <c r="AH57" s="64"/>
      <c r="AI57" s="64"/>
      <c r="AJ57" s="64"/>
      <c r="AK57" s="64"/>
      <c r="AL57" s="64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</row>
    <row r="58" ht="16.5" customHeight="1">
      <c r="A58" s="62"/>
      <c r="B58" s="62"/>
      <c r="C58" s="62"/>
      <c r="D58" s="62"/>
      <c r="E58" s="62"/>
      <c r="F58" s="63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4"/>
      <c r="AG58" s="64"/>
      <c r="AH58" s="64"/>
      <c r="AI58" s="64"/>
      <c r="AJ58" s="64"/>
      <c r="AK58" s="64"/>
      <c r="AL58" s="64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</row>
    <row r="59" ht="16.5" customHeight="1">
      <c r="A59" s="62"/>
      <c r="B59" s="62"/>
      <c r="C59" s="62"/>
      <c r="D59" s="62"/>
      <c r="E59" s="62"/>
      <c r="F59" s="63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4"/>
      <c r="AG59" s="64"/>
      <c r="AH59" s="64"/>
      <c r="AI59" s="64"/>
      <c r="AJ59" s="64"/>
      <c r="AK59" s="64"/>
      <c r="AL59" s="64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</row>
    <row r="60" ht="16.5" customHeight="1">
      <c r="A60" s="62"/>
      <c r="B60" s="62"/>
      <c r="C60" s="62"/>
      <c r="D60" s="62"/>
      <c r="E60" s="62"/>
      <c r="F60" s="63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4"/>
      <c r="AG60" s="64"/>
      <c r="AH60" s="64"/>
      <c r="AI60" s="64"/>
      <c r="AJ60" s="64"/>
      <c r="AK60" s="64"/>
      <c r="AL60" s="64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</row>
    <row r="61" ht="16.5" customHeight="1">
      <c r="A61" s="62"/>
      <c r="B61" s="62"/>
      <c r="C61" s="62"/>
      <c r="D61" s="62"/>
      <c r="E61" s="62"/>
      <c r="F61" s="63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4"/>
      <c r="AG61" s="64"/>
      <c r="AH61" s="64"/>
      <c r="AI61" s="64"/>
      <c r="AJ61" s="64"/>
      <c r="AK61" s="64"/>
      <c r="AL61" s="64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</row>
    <row r="62" ht="16.5" customHeight="1">
      <c r="A62" s="62"/>
      <c r="B62" s="62"/>
      <c r="C62" s="62"/>
      <c r="D62" s="62"/>
      <c r="E62" s="62"/>
      <c r="F62" s="63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4"/>
      <c r="AG62" s="64"/>
      <c r="AH62" s="64"/>
      <c r="AI62" s="64"/>
      <c r="AJ62" s="64"/>
      <c r="AK62" s="64"/>
      <c r="AL62" s="64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</row>
    <row r="63" ht="16.5" customHeight="1">
      <c r="A63" s="62"/>
      <c r="B63" s="62"/>
      <c r="C63" s="62"/>
      <c r="D63" s="62"/>
      <c r="E63" s="62"/>
      <c r="F63" s="63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4"/>
      <c r="AG63" s="64"/>
      <c r="AH63" s="64"/>
      <c r="AI63" s="64"/>
      <c r="AJ63" s="64"/>
      <c r="AK63" s="64"/>
      <c r="AL63" s="64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</row>
    <row r="64" ht="16.5" customHeight="1">
      <c r="A64" s="62"/>
      <c r="B64" s="62"/>
      <c r="C64" s="62"/>
      <c r="D64" s="62"/>
      <c r="E64" s="62"/>
      <c r="F64" s="63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4"/>
      <c r="AG64" s="64"/>
      <c r="AH64" s="64"/>
      <c r="AI64" s="64"/>
      <c r="AJ64" s="64"/>
      <c r="AK64" s="64"/>
      <c r="AL64" s="64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</row>
    <row r="65" ht="16.5" customHeight="1">
      <c r="A65" s="62"/>
      <c r="B65" s="62"/>
      <c r="C65" s="62"/>
      <c r="D65" s="62"/>
      <c r="E65" s="62"/>
      <c r="F65" s="63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4"/>
      <c r="AG65" s="64"/>
      <c r="AH65" s="64"/>
      <c r="AI65" s="64"/>
      <c r="AJ65" s="64"/>
      <c r="AK65" s="64"/>
      <c r="AL65" s="64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</row>
    <row r="66" ht="16.5" customHeight="1">
      <c r="A66" s="62"/>
      <c r="B66" s="62"/>
      <c r="C66" s="62"/>
      <c r="D66" s="62"/>
      <c r="E66" s="62"/>
      <c r="F66" s="63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4"/>
      <c r="AG66" s="64"/>
      <c r="AH66" s="64"/>
      <c r="AI66" s="64"/>
      <c r="AJ66" s="64"/>
      <c r="AK66" s="64"/>
      <c r="AL66" s="64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</row>
    <row r="67" ht="16.5" customHeight="1">
      <c r="A67" s="62"/>
      <c r="B67" s="62"/>
      <c r="C67" s="62"/>
      <c r="D67" s="62"/>
      <c r="E67" s="62"/>
      <c r="F67" s="63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4"/>
      <c r="AG67" s="64"/>
      <c r="AH67" s="64"/>
      <c r="AI67" s="64"/>
      <c r="AJ67" s="64"/>
      <c r="AK67" s="64"/>
      <c r="AL67" s="64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</row>
    <row r="68" ht="16.5" customHeight="1">
      <c r="A68" s="62"/>
      <c r="B68" s="62"/>
      <c r="C68" s="62"/>
      <c r="D68" s="62"/>
      <c r="E68" s="62"/>
      <c r="F68" s="63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4"/>
      <c r="AG68" s="64"/>
      <c r="AH68" s="64"/>
      <c r="AI68" s="64"/>
      <c r="AJ68" s="64"/>
      <c r="AK68" s="64"/>
      <c r="AL68" s="64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</row>
    <row r="69" ht="16.5" customHeight="1">
      <c r="A69" s="62"/>
      <c r="B69" s="62"/>
      <c r="C69" s="62"/>
      <c r="D69" s="62"/>
      <c r="E69" s="62"/>
      <c r="F69" s="63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4"/>
      <c r="AG69" s="64"/>
      <c r="AH69" s="64"/>
      <c r="AI69" s="64"/>
      <c r="AJ69" s="64"/>
      <c r="AK69" s="64"/>
      <c r="AL69" s="64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</row>
    <row r="70" ht="16.5" customHeight="1">
      <c r="A70" s="62"/>
      <c r="B70" s="62"/>
      <c r="C70" s="62"/>
      <c r="D70" s="62"/>
      <c r="E70" s="62"/>
      <c r="F70" s="63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4"/>
      <c r="AG70" s="64"/>
      <c r="AH70" s="64"/>
      <c r="AI70" s="64"/>
      <c r="AJ70" s="64"/>
      <c r="AK70" s="64"/>
      <c r="AL70" s="64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</row>
    <row r="71" ht="16.5" customHeight="1">
      <c r="A71" s="62"/>
      <c r="B71" s="62"/>
      <c r="C71" s="62"/>
      <c r="D71" s="62"/>
      <c r="E71" s="62"/>
      <c r="F71" s="63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4"/>
      <c r="AG71" s="64"/>
      <c r="AH71" s="64"/>
      <c r="AI71" s="64"/>
      <c r="AJ71" s="64"/>
      <c r="AK71" s="64"/>
      <c r="AL71" s="64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</row>
    <row r="72" ht="16.5" customHeight="1">
      <c r="A72" s="62"/>
      <c r="B72" s="62"/>
      <c r="C72" s="62"/>
      <c r="D72" s="62"/>
      <c r="E72" s="62"/>
      <c r="F72" s="63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4"/>
      <c r="AG72" s="64"/>
      <c r="AH72" s="64"/>
      <c r="AI72" s="64"/>
      <c r="AJ72" s="64"/>
      <c r="AK72" s="64"/>
      <c r="AL72" s="64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</row>
    <row r="73" ht="16.5" customHeight="1">
      <c r="A73" s="62"/>
      <c r="B73" s="62"/>
      <c r="C73" s="62"/>
      <c r="D73" s="62"/>
      <c r="E73" s="62"/>
      <c r="F73" s="63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4"/>
      <c r="AG73" s="64"/>
      <c r="AH73" s="64"/>
      <c r="AI73" s="64"/>
      <c r="AJ73" s="64"/>
      <c r="AK73" s="64"/>
      <c r="AL73" s="64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</row>
    <row r="74" ht="16.5" customHeight="1">
      <c r="A74" s="62"/>
      <c r="B74" s="62"/>
      <c r="C74" s="62"/>
      <c r="D74" s="62"/>
      <c r="E74" s="62"/>
      <c r="F74" s="63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4"/>
      <c r="AG74" s="64"/>
      <c r="AH74" s="64"/>
      <c r="AI74" s="64"/>
      <c r="AJ74" s="64"/>
      <c r="AK74" s="64"/>
      <c r="AL74" s="64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</row>
    <row r="75" ht="16.5" customHeight="1">
      <c r="A75" s="62"/>
      <c r="B75" s="62"/>
      <c r="C75" s="62"/>
      <c r="D75" s="62"/>
      <c r="E75" s="62"/>
      <c r="F75" s="63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4"/>
      <c r="AG75" s="64"/>
      <c r="AH75" s="64"/>
      <c r="AI75" s="64"/>
      <c r="AJ75" s="64"/>
      <c r="AK75" s="64"/>
      <c r="AL75" s="64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</row>
    <row r="76" ht="16.5" customHeight="1">
      <c r="A76" s="62"/>
      <c r="B76" s="62"/>
      <c r="C76" s="62"/>
      <c r="D76" s="62"/>
      <c r="E76" s="62"/>
      <c r="F76" s="63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4"/>
      <c r="AG76" s="64"/>
      <c r="AH76" s="64"/>
      <c r="AI76" s="64"/>
      <c r="AJ76" s="64"/>
      <c r="AK76" s="64"/>
      <c r="AL76" s="64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</row>
    <row r="77" ht="16.5" customHeight="1">
      <c r="A77" s="62"/>
      <c r="B77" s="62"/>
      <c r="C77" s="62"/>
      <c r="D77" s="62"/>
      <c r="E77" s="62"/>
      <c r="F77" s="63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4"/>
      <c r="AG77" s="64"/>
      <c r="AH77" s="64"/>
      <c r="AI77" s="64"/>
      <c r="AJ77" s="64"/>
      <c r="AK77" s="64"/>
      <c r="AL77" s="64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</row>
    <row r="78" ht="16.5" customHeight="1">
      <c r="A78" s="62"/>
      <c r="B78" s="62"/>
      <c r="C78" s="62"/>
      <c r="D78" s="62"/>
      <c r="E78" s="62"/>
      <c r="F78" s="63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4"/>
      <c r="AG78" s="64"/>
      <c r="AH78" s="64"/>
      <c r="AI78" s="64"/>
      <c r="AJ78" s="64"/>
      <c r="AK78" s="64"/>
      <c r="AL78" s="64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</row>
    <row r="79" ht="16.5" customHeight="1">
      <c r="A79" s="62"/>
      <c r="B79" s="62"/>
      <c r="C79" s="62"/>
      <c r="D79" s="62"/>
      <c r="E79" s="62"/>
      <c r="F79" s="63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4"/>
      <c r="AG79" s="64"/>
      <c r="AH79" s="64"/>
      <c r="AI79" s="64"/>
      <c r="AJ79" s="64"/>
      <c r="AK79" s="64"/>
      <c r="AL79" s="64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</row>
    <row r="80" ht="16.5" customHeight="1">
      <c r="A80" s="62"/>
      <c r="B80" s="62"/>
      <c r="C80" s="62"/>
      <c r="D80" s="62"/>
      <c r="E80" s="62"/>
      <c r="F80" s="63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4"/>
      <c r="AG80" s="64"/>
      <c r="AH80" s="64"/>
      <c r="AI80" s="64"/>
      <c r="AJ80" s="64"/>
      <c r="AK80" s="64"/>
      <c r="AL80" s="64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</row>
    <row r="81" ht="16.5" customHeight="1">
      <c r="A81" s="62"/>
      <c r="B81" s="62"/>
      <c r="C81" s="62"/>
      <c r="D81" s="62"/>
      <c r="E81" s="62"/>
      <c r="F81" s="63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4"/>
      <c r="AG81" s="64"/>
      <c r="AH81" s="64"/>
      <c r="AI81" s="64"/>
      <c r="AJ81" s="64"/>
      <c r="AK81" s="64"/>
      <c r="AL81" s="64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</row>
    <row r="82" ht="16.5" customHeight="1">
      <c r="A82" s="62"/>
      <c r="B82" s="62"/>
      <c r="C82" s="62"/>
      <c r="D82" s="62"/>
      <c r="E82" s="62"/>
      <c r="F82" s="63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4"/>
      <c r="AG82" s="64"/>
      <c r="AH82" s="64"/>
      <c r="AI82" s="64"/>
      <c r="AJ82" s="64"/>
      <c r="AK82" s="64"/>
      <c r="AL82" s="64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</row>
    <row r="83" ht="16.5" customHeight="1">
      <c r="A83" s="62"/>
      <c r="B83" s="62"/>
      <c r="C83" s="62"/>
      <c r="D83" s="62"/>
      <c r="E83" s="62"/>
      <c r="F83" s="63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4"/>
      <c r="AG83" s="64"/>
      <c r="AH83" s="64"/>
      <c r="AI83" s="64"/>
      <c r="AJ83" s="64"/>
      <c r="AK83" s="64"/>
      <c r="AL83" s="64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</row>
    <row r="84" ht="16.5" customHeight="1">
      <c r="A84" s="62"/>
      <c r="B84" s="62"/>
      <c r="C84" s="62"/>
      <c r="D84" s="62"/>
      <c r="E84" s="62"/>
      <c r="F84" s="63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4"/>
      <c r="AG84" s="64"/>
      <c r="AH84" s="64"/>
      <c r="AI84" s="64"/>
      <c r="AJ84" s="64"/>
      <c r="AK84" s="64"/>
      <c r="AL84" s="64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</row>
    <row r="85" ht="16.5" customHeight="1">
      <c r="A85" s="62"/>
      <c r="B85" s="62"/>
      <c r="C85" s="62"/>
      <c r="D85" s="62"/>
      <c r="E85" s="62"/>
      <c r="F85" s="63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4"/>
      <c r="AG85" s="64"/>
      <c r="AH85" s="64"/>
      <c r="AI85" s="64"/>
      <c r="AJ85" s="64"/>
      <c r="AK85" s="64"/>
      <c r="AL85" s="64"/>
      <c r="AM85" s="62"/>
      <c r="AN85" s="62"/>
      <c r="AO85" s="62"/>
      <c r="AP85" s="62"/>
      <c r="AQ85" s="62"/>
      <c r="AR85" s="62"/>
      <c r="AS85" s="62"/>
      <c r="AT85" s="62"/>
      <c r="AU85" s="62"/>
      <c r="AV85" s="62"/>
      <c r="AW85" s="62"/>
    </row>
    <row r="86" ht="16.5" customHeight="1">
      <c r="A86" s="62"/>
      <c r="B86" s="62"/>
      <c r="C86" s="62"/>
      <c r="D86" s="62"/>
      <c r="E86" s="62"/>
      <c r="F86" s="63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4"/>
      <c r="AG86" s="64"/>
      <c r="AH86" s="64"/>
      <c r="AI86" s="64"/>
      <c r="AJ86" s="64"/>
      <c r="AK86" s="64"/>
      <c r="AL86" s="64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</row>
    <row r="87" ht="16.5" customHeight="1">
      <c r="A87" s="62"/>
      <c r="B87" s="62"/>
      <c r="C87" s="62"/>
      <c r="D87" s="62"/>
      <c r="E87" s="62"/>
      <c r="F87" s="63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4"/>
      <c r="AG87" s="64"/>
      <c r="AH87" s="64"/>
      <c r="AI87" s="64"/>
      <c r="AJ87" s="64"/>
      <c r="AK87" s="64"/>
      <c r="AL87" s="64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</row>
    <row r="88" ht="16.5" customHeight="1">
      <c r="A88" s="62"/>
      <c r="B88" s="62"/>
      <c r="C88" s="62"/>
      <c r="D88" s="62"/>
      <c r="E88" s="62"/>
      <c r="F88" s="63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4"/>
      <c r="AG88" s="64"/>
      <c r="AH88" s="64"/>
      <c r="AI88" s="64"/>
      <c r="AJ88" s="64"/>
      <c r="AK88" s="64"/>
      <c r="AL88" s="64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</row>
    <row r="89" ht="16.5" customHeight="1">
      <c r="A89" s="62"/>
      <c r="B89" s="62"/>
      <c r="C89" s="62"/>
      <c r="D89" s="62"/>
      <c r="E89" s="62"/>
      <c r="F89" s="63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4"/>
      <c r="AG89" s="64"/>
      <c r="AH89" s="64"/>
      <c r="AI89" s="64"/>
      <c r="AJ89" s="64"/>
      <c r="AK89" s="64"/>
      <c r="AL89" s="64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</row>
    <row r="90" ht="16.5" customHeight="1">
      <c r="A90" s="62"/>
      <c r="B90" s="62"/>
      <c r="C90" s="62"/>
      <c r="D90" s="62"/>
      <c r="E90" s="62"/>
      <c r="F90" s="63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4"/>
      <c r="AG90" s="64"/>
      <c r="AH90" s="64"/>
      <c r="AI90" s="64"/>
      <c r="AJ90" s="64"/>
      <c r="AK90" s="64"/>
      <c r="AL90" s="64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</row>
    <row r="91" ht="16.5" customHeight="1">
      <c r="A91" s="62"/>
      <c r="B91" s="62"/>
      <c r="C91" s="62"/>
      <c r="D91" s="62"/>
      <c r="E91" s="62"/>
      <c r="F91" s="63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4"/>
      <c r="AG91" s="64"/>
      <c r="AH91" s="64"/>
      <c r="AI91" s="64"/>
      <c r="AJ91" s="64"/>
      <c r="AK91" s="64"/>
      <c r="AL91" s="64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</row>
    <row r="92" ht="16.5" customHeight="1">
      <c r="A92" s="62"/>
      <c r="B92" s="62"/>
      <c r="C92" s="62"/>
      <c r="D92" s="62"/>
      <c r="E92" s="62"/>
      <c r="F92" s="63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4"/>
      <c r="AG92" s="64"/>
      <c r="AH92" s="64"/>
      <c r="AI92" s="64"/>
      <c r="AJ92" s="64"/>
      <c r="AK92" s="64"/>
      <c r="AL92" s="64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</row>
    <row r="93" ht="16.5" customHeight="1">
      <c r="A93" s="62"/>
      <c r="B93" s="62"/>
      <c r="C93" s="62"/>
      <c r="D93" s="62"/>
      <c r="E93" s="62"/>
      <c r="F93" s="63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4"/>
      <c r="AG93" s="64"/>
      <c r="AH93" s="64"/>
      <c r="AI93" s="64"/>
      <c r="AJ93" s="64"/>
      <c r="AK93" s="64"/>
      <c r="AL93" s="64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</row>
    <row r="94" ht="16.5" customHeight="1">
      <c r="A94" s="62"/>
      <c r="B94" s="62"/>
      <c r="C94" s="62"/>
      <c r="D94" s="62"/>
      <c r="E94" s="62"/>
      <c r="F94" s="63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4"/>
      <c r="AG94" s="64"/>
      <c r="AH94" s="64"/>
      <c r="AI94" s="64"/>
      <c r="AJ94" s="64"/>
      <c r="AK94" s="64"/>
      <c r="AL94" s="64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</row>
    <row r="95" ht="16.5" customHeight="1">
      <c r="A95" s="62"/>
      <c r="B95" s="62"/>
      <c r="C95" s="62"/>
      <c r="D95" s="62"/>
      <c r="E95" s="62"/>
      <c r="F95" s="63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4"/>
      <c r="AG95" s="64"/>
      <c r="AH95" s="64"/>
      <c r="AI95" s="64"/>
      <c r="AJ95" s="64"/>
      <c r="AK95" s="64"/>
      <c r="AL95" s="64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</row>
    <row r="96" ht="16.5" customHeight="1">
      <c r="A96" s="62"/>
      <c r="B96" s="62"/>
      <c r="C96" s="62"/>
      <c r="D96" s="62"/>
      <c r="E96" s="62"/>
      <c r="F96" s="63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4"/>
      <c r="AG96" s="64"/>
      <c r="AH96" s="64"/>
      <c r="AI96" s="64"/>
      <c r="AJ96" s="64"/>
      <c r="AK96" s="64"/>
      <c r="AL96" s="64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</row>
    <row r="97" ht="16.5" customHeight="1">
      <c r="A97" s="62"/>
      <c r="B97" s="62"/>
      <c r="C97" s="62"/>
      <c r="D97" s="62"/>
      <c r="E97" s="62"/>
      <c r="F97" s="63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4"/>
      <c r="AG97" s="64"/>
      <c r="AH97" s="64"/>
      <c r="AI97" s="64"/>
      <c r="AJ97" s="64"/>
      <c r="AK97" s="64"/>
      <c r="AL97" s="64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</row>
    <row r="98" ht="16.5" customHeight="1">
      <c r="A98" s="62"/>
      <c r="B98" s="62"/>
      <c r="C98" s="62"/>
      <c r="D98" s="62"/>
      <c r="E98" s="62"/>
      <c r="F98" s="63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4"/>
      <c r="AG98" s="64"/>
      <c r="AH98" s="64"/>
      <c r="AI98" s="64"/>
      <c r="AJ98" s="64"/>
      <c r="AK98" s="64"/>
      <c r="AL98" s="64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</row>
    <row r="99" ht="16.5" customHeight="1">
      <c r="A99" s="62"/>
      <c r="B99" s="62"/>
      <c r="C99" s="62"/>
      <c r="D99" s="62"/>
      <c r="E99" s="62"/>
      <c r="F99" s="63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4"/>
      <c r="AG99" s="64"/>
      <c r="AH99" s="64"/>
      <c r="AI99" s="64"/>
      <c r="AJ99" s="64"/>
      <c r="AK99" s="64"/>
      <c r="AL99" s="64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</row>
    <row r="100" ht="16.5" customHeight="1">
      <c r="A100" s="62"/>
      <c r="B100" s="62"/>
      <c r="C100" s="62"/>
      <c r="D100" s="62"/>
      <c r="E100" s="62"/>
      <c r="F100" s="63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4"/>
      <c r="AG100" s="64"/>
      <c r="AH100" s="64"/>
      <c r="AI100" s="64"/>
      <c r="AJ100" s="64"/>
      <c r="AK100" s="64"/>
      <c r="AL100" s="64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</row>
    <row r="101" ht="16.5" customHeight="1">
      <c r="A101" s="62"/>
      <c r="B101" s="62"/>
      <c r="C101" s="62"/>
      <c r="D101" s="62"/>
      <c r="E101" s="62"/>
      <c r="F101" s="63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4"/>
      <c r="AG101" s="64"/>
      <c r="AH101" s="64"/>
      <c r="AI101" s="64"/>
      <c r="AJ101" s="64"/>
      <c r="AK101" s="64"/>
      <c r="AL101" s="64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</row>
    <row r="102" ht="16.5" customHeight="1">
      <c r="A102" s="62"/>
      <c r="B102" s="62"/>
      <c r="C102" s="62"/>
      <c r="D102" s="62"/>
      <c r="E102" s="62"/>
      <c r="F102" s="63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4"/>
      <c r="AG102" s="64"/>
      <c r="AH102" s="64"/>
      <c r="AI102" s="64"/>
      <c r="AJ102" s="64"/>
      <c r="AK102" s="64"/>
      <c r="AL102" s="64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</row>
    <row r="103" ht="16.5" customHeight="1">
      <c r="A103" s="62"/>
      <c r="B103" s="62"/>
      <c r="C103" s="62"/>
      <c r="D103" s="62"/>
      <c r="E103" s="62"/>
      <c r="F103" s="63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4"/>
      <c r="AG103" s="64"/>
      <c r="AH103" s="64"/>
      <c r="AI103" s="64"/>
      <c r="AJ103" s="64"/>
      <c r="AK103" s="64"/>
      <c r="AL103" s="64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</row>
    <row r="104" ht="16.5" customHeight="1">
      <c r="A104" s="62"/>
      <c r="B104" s="62"/>
      <c r="C104" s="62"/>
      <c r="D104" s="62"/>
      <c r="E104" s="62"/>
      <c r="F104" s="63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4"/>
      <c r="AG104" s="64"/>
      <c r="AH104" s="64"/>
      <c r="AI104" s="64"/>
      <c r="AJ104" s="64"/>
      <c r="AK104" s="64"/>
      <c r="AL104" s="64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</row>
    <row r="105" ht="16.5" customHeight="1">
      <c r="A105" s="62"/>
      <c r="B105" s="62"/>
      <c r="C105" s="62"/>
      <c r="D105" s="62"/>
      <c r="E105" s="62"/>
      <c r="F105" s="63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4"/>
      <c r="AG105" s="64"/>
      <c r="AH105" s="64"/>
      <c r="AI105" s="64"/>
      <c r="AJ105" s="64"/>
      <c r="AK105" s="64"/>
      <c r="AL105" s="64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</row>
    <row r="106" ht="16.5" customHeight="1">
      <c r="A106" s="62"/>
      <c r="B106" s="62"/>
      <c r="C106" s="62"/>
      <c r="D106" s="62"/>
      <c r="E106" s="62"/>
      <c r="F106" s="63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4"/>
      <c r="AG106" s="64"/>
      <c r="AH106" s="64"/>
      <c r="AI106" s="64"/>
      <c r="AJ106" s="64"/>
      <c r="AK106" s="64"/>
      <c r="AL106" s="64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</row>
    <row r="107" ht="16.5" customHeight="1">
      <c r="A107" s="62"/>
      <c r="B107" s="62"/>
      <c r="C107" s="62"/>
      <c r="D107" s="62"/>
      <c r="E107" s="62"/>
      <c r="F107" s="63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4"/>
      <c r="AG107" s="64"/>
      <c r="AH107" s="64"/>
      <c r="AI107" s="64"/>
      <c r="AJ107" s="64"/>
      <c r="AK107" s="64"/>
      <c r="AL107" s="64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</row>
    <row r="108" ht="16.5" customHeight="1">
      <c r="A108" s="62"/>
      <c r="B108" s="62"/>
      <c r="C108" s="62"/>
      <c r="D108" s="62"/>
      <c r="E108" s="62"/>
      <c r="F108" s="63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4"/>
      <c r="AG108" s="64"/>
      <c r="AH108" s="64"/>
      <c r="AI108" s="64"/>
      <c r="AJ108" s="64"/>
      <c r="AK108" s="64"/>
      <c r="AL108" s="64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</row>
    <row r="109" ht="16.5" customHeight="1">
      <c r="A109" s="62"/>
      <c r="B109" s="62"/>
      <c r="C109" s="62"/>
      <c r="D109" s="62"/>
      <c r="E109" s="62"/>
      <c r="F109" s="63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4"/>
      <c r="AG109" s="64"/>
      <c r="AH109" s="64"/>
      <c r="AI109" s="64"/>
      <c r="AJ109" s="64"/>
      <c r="AK109" s="64"/>
      <c r="AL109" s="64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</row>
    <row r="110" ht="16.5" customHeight="1">
      <c r="A110" s="62"/>
      <c r="B110" s="62"/>
      <c r="C110" s="62"/>
      <c r="D110" s="62"/>
      <c r="E110" s="62"/>
      <c r="F110" s="63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4"/>
      <c r="AG110" s="64"/>
      <c r="AH110" s="64"/>
      <c r="AI110" s="64"/>
      <c r="AJ110" s="64"/>
      <c r="AK110" s="64"/>
      <c r="AL110" s="64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</row>
    <row r="111" ht="16.5" customHeight="1">
      <c r="A111" s="62"/>
      <c r="B111" s="62"/>
      <c r="C111" s="62"/>
      <c r="D111" s="62"/>
      <c r="E111" s="62"/>
      <c r="F111" s="63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4"/>
      <c r="AG111" s="64"/>
      <c r="AH111" s="64"/>
      <c r="AI111" s="64"/>
      <c r="AJ111" s="64"/>
      <c r="AK111" s="64"/>
      <c r="AL111" s="64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</row>
    <row r="112" ht="16.5" customHeight="1">
      <c r="A112" s="62"/>
      <c r="B112" s="62"/>
      <c r="C112" s="62"/>
      <c r="D112" s="62"/>
      <c r="E112" s="62"/>
      <c r="F112" s="63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4"/>
      <c r="AG112" s="64"/>
      <c r="AH112" s="64"/>
      <c r="AI112" s="64"/>
      <c r="AJ112" s="64"/>
      <c r="AK112" s="64"/>
      <c r="AL112" s="64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</row>
    <row r="113" ht="16.5" customHeight="1">
      <c r="A113" s="62"/>
      <c r="B113" s="62"/>
      <c r="C113" s="62"/>
      <c r="D113" s="62"/>
      <c r="E113" s="62"/>
      <c r="F113" s="63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4"/>
      <c r="AG113" s="64"/>
      <c r="AH113" s="64"/>
      <c r="AI113" s="64"/>
      <c r="AJ113" s="64"/>
      <c r="AK113" s="64"/>
      <c r="AL113" s="64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</row>
    <row r="114" ht="16.5" customHeight="1">
      <c r="A114" s="62"/>
      <c r="B114" s="62"/>
      <c r="C114" s="62"/>
      <c r="D114" s="62"/>
      <c r="E114" s="62"/>
      <c r="F114" s="63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4"/>
      <c r="AG114" s="64"/>
      <c r="AH114" s="64"/>
      <c r="AI114" s="64"/>
      <c r="AJ114" s="64"/>
      <c r="AK114" s="64"/>
      <c r="AL114" s="64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</row>
    <row r="115" ht="16.5" customHeight="1">
      <c r="A115" s="62"/>
      <c r="B115" s="62"/>
      <c r="C115" s="62"/>
      <c r="D115" s="62"/>
      <c r="E115" s="62"/>
      <c r="F115" s="63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4"/>
      <c r="AG115" s="64"/>
      <c r="AH115" s="64"/>
      <c r="AI115" s="64"/>
      <c r="AJ115" s="64"/>
      <c r="AK115" s="64"/>
      <c r="AL115" s="64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</row>
    <row r="116" ht="16.5" customHeight="1">
      <c r="A116" s="62"/>
      <c r="B116" s="62"/>
      <c r="C116" s="62"/>
      <c r="D116" s="62"/>
      <c r="E116" s="62"/>
      <c r="F116" s="63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4"/>
      <c r="AG116" s="64"/>
      <c r="AH116" s="64"/>
      <c r="AI116" s="64"/>
      <c r="AJ116" s="64"/>
      <c r="AK116" s="64"/>
      <c r="AL116" s="64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</row>
    <row r="117" ht="16.5" customHeight="1">
      <c r="A117" s="62"/>
      <c r="B117" s="62"/>
      <c r="C117" s="62"/>
      <c r="D117" s="62"/>
      <c r="E117" s="62"/>
      <c r="F117" s="63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4"/>
      <c r="AG117" s="64"/>
      <c r="AH117" s="64"/>
      <c r="AI117" s="64"/>
      <c r="AJ117" s="64"/>
      <c r="AK117" s="64"/>
      <c r="AL117" s="64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</row>
    <row r="118" ht="16.5" customHeight="1">
      <c r="A118" s="62"/>
      <c r="B118" s="62"/>
      <c r="C118" s="62"/>
      <c r="D118" s="62"/>
      <c r="E118" s="62"/>
      <c r="F118" s="63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4"/>
      <c r="AG118" s="64"/>
      <c r="AH118" s="64"/>
      <c r="AI118" s="64"/>
      <c r="AJ118" s="64"/>
      <c r="AK118" s="64"/>
      <c r="AL118" s="64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</row>
    <row r="119" ht="16.5" customHeight="1">
      <c r="A119" s="62"/>
      <c r="B119" s="62"/>
      <c r="C119" s="62"/>
      <c r="D119" s="62"/>
      <c r="E119" s="62"/>
      <c r="F119" s="63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4"/>
      <c r="AG119" s="64"/>
      <c r="AH119" s="64"/>
      <c r="AI119" s="64"/>
      <c r="AJ119" s="64"/>
      <c r="AK119" s="64"/>
      <c r="AL119" s="64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</row>
    <row r="120" ht="16.5" customHeight="1">
      <c r="A120" s="62"/>
      <c r="B120" s="62"/>
      <c r="C120" s="62"/>
      <c r="D120" s="62"/>
      <c r="E120" s="62"/>
      <c r="F120" s="63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4"/>
      <c r="AG120" s="64"/>
      <c r="AH120" s="64"/>
      <c r="AI120" s="64"/>
      <c r="AJ120" s="64"/>
      <c r="AK120" s="64"/>
      <c r="AL120" s="64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</row>
    <row r="121" ht="16.5" customHeight="1">
      <c r="A121" s="62"/>
      <c r="B121" s="62"/>
      <c r="C121" s="62"/>
      <c r="D121" s="62"/>
      <c r="E121" s="62"/>
      <c r="F121" s="63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4"/>
      <c r="AG121" s="64"/>
      <c r="AH121" s="64"/>
      <c r="AI121" s="64"/>
      <c r="AJ121" s="64"/>
      <c r="AK121" s="64"/>
      <c r="AL121" s="64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</row>
    <row r="122" ht="16.5" customHeight="1">
      <c r="A122" s="62"/>
      <c r="B122" s="62"/>
      <c r="C122" s="62"/>
      <c r="D122" s="62"/>
      <c r="E122" s="62"/>
      <c r="F122" s="63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4"/>
      <c r="AG122" s="64"/>
      <c r="AH122" s="64"/>
      <c r="AI122" s="64"/>
      <c r="AJ122" s="64"/>
      <c r="AK122" s="64"/>
      <c r="AL122" s="64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</row>
    <row r="123" ht="16.5" customHeight="1">
      <c r="A123" s="62"/>
      <c r="B123" s="62"/>
      <c r="C123" s="62"/>
      <c r="D123" s="62"/>
      <c r="E123" s="62"/>
      <c r="F123" s="63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4"/>
      <c r="AG123" s="64"/>
      <c r="AH123" s="64"/>
      <c r="AI123" s="64"/>
      <c r="AJ123" s="64"/>
      <c r="AK123" s="64"/>
      <c r="AL123" s="64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</row>
    <row r="124" ht="16.5" customHeight="1">
      <c r="A124" s="62"/>
      <c r="B124" s="62"/>
      <c r="C124" s="62"/>
      <c r="D124" s="62"/>
      <c r="E124" s="62"/>
      <c r="F124" s="63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4"/>
      <c r="AG124" s="64"/>
      <c r="AH124" s="64"/>
      <c r="AI124" s="64"/>
      <c r="AJ124" s="64"/>
      <c r="AK124" s="64"/>
      <c r="AL124" s="64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</row>
    <row r="125" ht="16.5" customHeight="1">
      <c r="A125" s="62"/>
      <c r="B125" s="62"/>
      <c r="C125" s="62"/>
      <c r="D125" s="62"/>
      <c r="E125" s="62"/>
      <c r="F125" s="63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4"/>
      <c r="AG125" s="64"/>
      <c r="AH125" s="64"/>
      <c r="AI125" s="64"/>
      <c r="AJ125" s="64"/>
      <c r="AK125" s="64"/>
      <c r="AL125" s="64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</row>
    <row r="126" ht="16.5" customHeight="1">
      <c r="A126" s="62"/>
      <c r="B126" s="62"/>
      <c r="C126" s="62"/>
      <c r="D126" s="62"/>
      <c r="E126" s="62"/>
      <c r="F126" s="63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4"/>
      <c r="AG126" s="64"/>
      <c r="AH126" s="64"/>
      <c r="AI126" s="64"/>
      <c r="AJ126" s="64"/>
      <c r="AK126" s="64"/>
      <c r="AL126" s="64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</row>
    <row r="127" ht="16.5" customHeight="1">
      <c r="A127" s="62"/>
      <c r="B127" s="62"/>
      <c r="C127" s="62"/>
      <c r="D127" s="62"/>
      <c r="E127" s="62"/>
      <c r="F127" s="63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4"/>
      <c r="AG127" s="64"/>
      <c r="AH127" s="64"/>
      <c r="AI127" s="64"/>
      <c r="AJ127" s="64"/>
      <c r="AK127" s="64"/>
      <c r="AL127" s="64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</row>
    <row r="128" ht="16.5" customHeight="1">
      <c r="A128" s="62"/>
      <c r="B128" s="62"/>
      <c r="C128" s="62"/>
      <c r="D128" s="62"/>
      <c r="E128" s="62"/>
      <c r="F128" s="63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4"/>
      <c r="AG128" s="64"/>
      <c r="AH128" s="64"/>
      <c r="AI128" s="64"/>
      <c r="AJ128" s="64"/>
      <c r="AK128" s="64"/>
      <c r="AL128" s="64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</row>
    <row r="129" ht="16.5" customHeight="1">
      <c r="A129" s="62"/>
      <c r="B129" s="62"/>
      <c r="C129" s="62"/>
      <c r="D129" s="62"/>
      <c r="E129" s="62"/>
      <c r="F129" s="63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4"/>
      <c r="AG129" s="64"/>
      <c r="AH129" s="64"/>
      <c r="AI129" s="64"/>
      <c r="AJ129" s="64"/>
      <c r="AK129" s="64"/>
      <c r="AL129" s="64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</row>
    <row r="130" ht="16.5" customHeight="1">
      <c r="A130" s="62"/>
      <c r="B130" s="62"/>
      <c r="C130" s="62"/>
      <c r="D130" s="62"/>
      <c r="E130" s="62"/>
      <c r="F130" s="63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4"/>
      <c r="AG130" s="64"/>
      <c r="AH130" s="64"/>
      <c r="AI130" s="64"/>
      <c r="AJ130" s="64"/>
      <c r="AK130" s="64"/>
      <c r="AL130" s="64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</row>
    <row r="131" ht="16.5" customHeight="1">
      <c r="A131" s="62"/>
      <c r="B131" s="62"/>
      <c r="C131" s="62"/>
      <c r="D131" s="62"/>
      <c r="E131" s="62"/>
      <c r="F131" s="63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4"/>
      <c r="AG131" s="64"/>
      <c r="AH131" s="64"/>
      <c r="AI131" s="64"/>
      <c r="AJ131" s="64"/>
      <c r="AK131" s="64"/>
      <c r="AL131" s="64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</row>
    <row r="132" ht="16.5" customHeight="1">
      <c r="A132" s="62"/>
      <c r="B132" s="62"/>
      <c r="C132" s="62"/>
      <c r="D132" s="62"/>
      <c r="E132" s="62"/>
      <c r="F132" s="63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4"/>
      <c r="AG132" s="64"/>
      <c r="AH132" s="64"/>
      <c r="AI132" s="64"/>
      <c r="AJ132" s="64"/>
      <c r="AK132" s="64"/>
      <c r="AL132" s="64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</row>
    <row r="133" ht="16.5" customHeight="1">
      <c r="A133" s="62"/>
      <c r="B133" s="62"/>
      <c r="C133" s="62"/>
      <c r="D133" s="62"/>
      <c r="E133" s="62"/>
      <c r="F133" s="63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4"/>
      <c r="AG133" s="64"/>
      <c r="AH133" s="64"/>
      <c r="AI133" s="64"/>
      <c r="AJ133" s="64"/>
      <c r="AK133" s="64"/>
      <c r="AL133" s="64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</row>
    <row r="134" ht="16.5" customHeight="1">
      <c r="A134" s="62"/>
      <c r="B134" s="62"/>
      <c r="C134" s="62"/>
      <c r="D134" s="62"/>
      <c r="E134" s="62"/>
      <c r="F134" s="63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4"/>
      <c r="AG134" s="64"/>
      <c r="AH134" s="64"/>
      <c r="AI134" s="64"/>
      <c r="AJ134" s="64"/>
      <c r="AK134" s="64"/>
      <c r="AL134" s="64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</row>
    <row r="135" ht="16.5" customHeight="1">
      <c r="A135" s="62"/>
      <c r="B135" s="62"/>
      <c r="C135" s="62"/>
      <c r="D135" s="62"/>
      <c r="E135" s="62"/>
      <c r="F135" s="63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4"/>
      <c r="AG135" s="64"/>
      <c r="AH135" s="64"/>
      <c r="AI135" s="64"/>
      <c r="AJ135" s="64"/>
      <c r="AK135" s="64"/>
      <c r="AL135" s="64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</row>
    <row r="136" ht="16.5" customHeight="1">
      <c r="A136" s="62"/>
      <c r="B136" s="62"/>
      <c r="C136" s="62"/>
      <c r="D136" s="62"/>
      <c r="E136" s="62"/>
      <c r="F136" s="63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4"/>
      <c r="AG136" s="64"/>
      <c r="AH136" s="64"/>
      <c r="AI136" s="64"/>
      <c r="AJ136" s="64"/>
      <c r="AK136" s="64"/>
      <c r="AL136" s="64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</row>
    <row r="137" ht="16.5" customHeight="1">
      <c r="A137" s="62"/>
      <c r="B137" s="62"/>
      <c r="C137" s="62"/>
      <c r="D137" s="62"/>
      <c r="E137" s="62"/>
      <c r="F137" s="63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4"/>
      <c r="AG137" s="64"/>
      <c r="AH137" s="64"/>
      <c r="AI137" s="64"/>
      <c r="AJ137" s="64"/>
      <c r="AK137" s="64"/>
      <c r="AL137" s="64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</row>
    <row r="138" ht="16.5" customHeight="1">
      <c r="A138" s="62"/>
      <c r="B138" s="62"/>
      <c r="C138" s="62"/>
      <c r="D138" s="62"/>
      <c r="E138" s="62"/>
      <c r="F138" s="63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4"/>
      <c r="AG138" s="64"/>
      <c r="AH138" s="64"/>
      <c r="AI138" s="64"/>
      <c r="AJ138" s="64"/>
      <c r="AK138" s="64"/>
      <c r="AL138" s="64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</row>
    <row r="139" ht="16.5" customHeight="1">
      <c r="A139" s="62"/>
      <c r="B139" s="62"/>
      <c r="C139" s="62"/>
      <c r="D139" s="62"/>
      <c r="E139" s="62"/>
      <c r="F139" s="63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4"/>
      <c r="AG139" s="64"/>
      <c r="AH139" s="64"/>
      <c r="AI139" s="64"/>
      <c r="AJ139" s="64"/>
      <c r="AK139" s="64"/>
      <c r="AL139" s="64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</row>
    <row r="140" ht="16.5" customHeight="1">
      <c r="A140" s="62"/>
      <c r="B140" s="62"/>
      <c r="C140" s="62"/>
      <c r="D140" s="62"/>
      <c r="E140" s="62"/>
      <c r="F140" s="63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4"/>
      <c r="AG140" s="64"/>
      <c r="AH140" s="64"/>
      <c r="AI140" s="64"/>
      <c r="AJ140" s="64"/>
      <c r="AK140" s="64"/>
      <c r="AL140" s="64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</row>
    <row r="141" ht="16.5" customHeight="1">
      <c r="A141" s="62"/>
      <c r="B141" s="62"/>
      <c r="C141" s="62"/>
      <c r="D141" s="62"/>
      <c r="E141" s="62"/>
      <c r="F141" s="63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4"/>
      <c r="AG141" s="64"/>
      <c r="AH141" s="64"/>
      <c r="AI141" s="64"/>
      <c r="AJ141" s="64"/>
      <c r="AK141" s="64"/>
      <c r="AL141" s="64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</row>
    <row r="142" ht="16.5" customHeight="1">
      <c r="A142" s="62"/>
      <c r="B142" s="62"/>
      <c r="C142" s="62"/>
      <c r="D142" s="62"/>
      <c r="E142" s="62"/>
      <c r="F142" s="63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4"/>
      <c r="AG142" s="64"/>
      <c r="AH142" s="64"/>
      <c r="AI142" s="64"/>
      <c r="AJ142" s="64"/>
      <c r="AK142" s="64"/>
      <c r="AL142" s="64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</row>
    <row r="143" ht="16.5" customHeight="1">
      <c r="A143" s="62"/>
      <c r="B143" s="62"/>
      <c r="C143" s="62"/>
      <c r="D143" s="62"/>
      <c r="E143" s="62"/>
      <c r="F143" s="63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4"/>
      <c r="AG143" s="64"/>
      <c r="AH143" s="64"/>
      <c r="AI143" s="64"/>
      <c r="AJ143" s="64"/>
      <c r="AK143" s="64"/>
      <c r="AL143" s="64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</row>
    <row r="144" ht="16.5" customHeight="1">
      <c r="A144" s="62"/>
      <c r="B144" s="62"/>
      <c r="C144" s="62"/>
      <c r="D144" s="62"/>
      <c r="E144" s="62"/>
      <c r="F144" s="63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4"/>
      <c r="AG144" s="64"/>
      <c r="AH144" s="64"/>
      <c r="AI144" s="64"/>
      <c r="AJ144" s="64"/>
      <c r="AK144" s="64"/>
      <c r="AL144" s="64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</row>
    <row r="145" ht="16.5" customHeight="1">
      <c r="A145" s="62"/>
      <c r="B145" s="62"/>
      <c r="C145" s="62"/>
      <c r="D145" s="62"/>
      <c r="E145" s="62"/>
      <c r="F145" s="63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4"/>
      <c r="AG145" s="64"/>
      <c r="AH145" s="64"/>
      <c r="AI145" s="64"/>
      <c r="AJ145" s="64"/>
      <c r="AK145" s="64"/>
      <c r="AL145" s="64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</row>
    <row r="146" ht="16.5" customHeight="1">
      <c r="A146" s="62"/>
      <c r="B146" s="62"/>
      <c r="C146" s="62"/>
      <c r="D146" s="62"/>
      <c r="E146" s="62"/>
      <c r="F146" s="63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4"/>
      <c r="AG146" s="64"/>
      <c r="AH146" s="64"/>
      <c r="AI146" s="64"/>
      <c r="AJ146" s="64"/>
      <c r="AK146" s="64"/>
      <c r="AL146" s="64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</row>
    <row r="147" ht="16.5" customHeight="1">
      <c r="A147" s="62"/>
      <c r="B147" s="62"/>
      <c r="C147" s="62"/>
      <c r="D147" s="62"/>
      <c r="E147" s="62"/>
      <c r="F147" s="63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4"/>
      <c r="AG147" s="64"/>
      <c r="AH147" s="64"/>
      <c r="AI147" s="64"/>
      <c r="AJ147" s="64"/>
      <c r="AK147" s="64"/>
      <c r="AL147" s="64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</row>
    <row r="148" ht="16.5" customHeight="1">
      <c r="A148" s="62"/>
      <c r="B148" s="62"/>
      <c r="C148" s="62"/>
      <c r="D148" s="62"/>
      <c r="E148" s="62"/>
      <c r="F148" s="63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4"/>
      <c r="AG148" s="64"/>
      <c r="AH148" s="64"/>
      <c r="AI148" s="64"/>
      <c r="AJ148" s="64"/>
      <c r="AK148" s="64"/>
      <c r="AL148" s="64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</row>
    <row r="149" ht="16.5" customHeight="1">
      <c r="A149" s="62"/>
      <c r="B149" s="62"/>
      <c r="C149" s="62"/>
      <c r="D149" s="62"/>
      <c r="E149" s="62"/>
      <c r="F149" s="63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4"/>
      <c r="AG149" s="64"/>
      <c r="AH149" s="64"/>
      <c r="AI149" s="64"/>
      <c r="AJ149" s="64"/>
      <c r="AK149" s="64"/>
      <c r="AL149" s="64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</row>
    <row r="150" ht="16.5" customHeight="1">
      <c r="A150" s="62"/>
      <c r="B150" s="62"/>
      <c r="C150" s="62"/>
      <c r="D150" s="62"/>
      <c r="E150" s="62"/>
      <c r="F150" s="63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4"/>
      <c r="AG150" s="64"/>
      <c r="AH150" s="64"/>
      <c r="AI150" s="64"/>
      <c r="AJ150" s="64"/>
      <c r="AK150" s="64"/>
      <c r="AL150" s="64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</row>
    <row r="151" ht="16.5" customHeight="1">
      <c r="A151" s="62"/>
      <c r="B151" s="62"/>
      <c r="C151" s="62"/>
      <c r="D151" s="62"/>
      <c r="E151" s="62"/>
      <c r="F151" s="63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4"/>
      <c r="AG151" s="64"/>
      <c r="AH151" s="64"/>
      <c r="AI151" s="64"/>
      <c r="AJ151" s="64"/>
      <c r="AK151" s="64"/>
      <c r="AL151" s="64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</row>
    <row r="152" ht="16.5" customHeight="1">
      <c r="A152" s="62"/>
      <c r="B152" s="62"/>
      <c r="C152" s="62"/>
      <c r="D152" s="62"/>
      <c r="E152" s="62"/>
      <c r="F152" s="63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4"/>
      <c r="AG152" s="64"/>
      <c r="AH152" s="64"/>
      <c r="AI152" s="64"/>
      <c r="AJ152" s="64"/>
      <c r="AK152" s="64"/>
      <c r="AL152" s="64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</row>
    <row r="153" ht="16.5" customHeight="1">
      <c r="A153" s="62"/>
      <c r="B153" s="62"/>
      <c r="C153" s="62"/>
      <c r="D153" s="62"/>
      <c r="E153" s="62"/>
      <c r="F153" s="63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4"/>
      <c r="AG153" s="64"/>
      <c r="AH153" s="64"/>
      <c r="AI153" s="64"/>
      <c r="AJ153" s="64"/>
      <c r="AK153" s="64"/>
      <c r="AL153" s="64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</row>
    <row r="154" ht="16.5" customHeight="1">
      <c r="A154" s="62"/>
      <c r="B154" s="62"/>
      <c r="C154" s="62"/>
      <c r="D154" s="62"/>
      <c r="E154" s="62"/>
      <c r="F154" s="63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4"/>
      <c r="AG154" s="64"/>
      <c r="AH154" s="64"/>
      <c r="AI154" s="64"/>
      <c r="AJ154" s="64"/>
      <c r="AK154" s="64"/>
      <c r="AL154" s="64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</row>
    <row r="155" ht="16.5" customHeight="1">
      <c r="A155" s="62"/>
      <c r="B155" s="62"/>
      <c r="C155" s="62"/>
      <c r="D155" s="62"/>
      <c r="E155" s="62"/>
      <c r="F155" s="63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4"/>
      <c r="AG155" s="64"/>
      <c r="AH155" s="64"/>
      <c r="AI155" s="64"/>
      <c r="AJ155" s="64"/>
      <c r="AK155" s="64"/>
      <c r="AL155" s="64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</row>
    <row r="156" ht="16.5" customHeight="1">
      <c r="A156" s="62"/>
      <c r="B156" s="62"/>
      <c r="C156" s="62"/>
      <c r="D156" s="62"/>
      <c r="E156" s="62"/>
      <c r="F156" s="63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4"/>
      <c r="AG156" s="64"/>
      <c r="AH156" s="64"/>
      <c r="AI156" s="64"/>
      <c r="AJ156" s="64"/>
      <c r="AK156" s="64"/>
      <c r="AL156" s="64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</row>
    <row r="157" ht="16.5" customHeight="1">
      <c r="A157" s="62"/>
      <c r="B157" s="62"/>
      <c r="C157" s="62"/>
      <c r="D157" s="62"/>
      <c r="E157" s="62"/>
      <c r="F157" s="63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4"/>
      <c r="AG157" s="64"/>
      <c r="AH157" s="64"/>
      <c r="AI157" s="64"/>
      <c r="AJ157" s="64"/>
      <c r="AK157" s="64"/>
      <c r="AL157" s="64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</row>
    <row r="158" ht="16.5" customHeight="1">
      <c r="A158" s="62"/>
      <c r="B158" s="62"/>
      <c r="C158" s="62"/>
      <c r="D158" s="62"/>
      <c r="E158" s="62"/>
      <c r="F158" s="63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4"/>
      <c r="AG158" s="64"/>
      <c r="AH158" s="64"/>
      <c r="AI158" s="64"/>
      <c r="AJ158" s="64"/>
      <c r="AK158" s="64"/>
      <c r="AL158" s="64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</row>
    <row r="159" ht="16.5" customHeight="1">
      <c r="A159" s="62"/>
      <c r="B159" s="62"/>
      <c r="C159" s="62"/>
      <c r="D159" s="62"/>
      <c r="E159" s="62"/>
      <c r="F159" s="63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4"/>
      <c r="AG159" s="64"/>
      <c r="AH159" s="64"/>
      <c r="AI159" s="64"/>
      <c r="AJ159" s="64"/>
      <c r="AK159" s="64"/>
      <c r="AL159" s="64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</row>
    <row r="160" ht="16.5" customHeight="1">
      <c r="A160" s="62"/>
      <c r="B160" s="62"/>
      <c r="C160" s="62"/>
      <c r="D160" s="62"/>
      <c r="E160" s="62"/>
      <c r="F160" s="63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4"/>
      <c r="AG160" s="64"/>
      <c r="AH160" s="64"/>
      <c r="AI160" s="64"/>
      <c r="AJ160" s="64"/>
      <c r="AK160" s="64"/>
      <c r="AL160" s="64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</row>
    <row r="161" ht="16.5" customHeight="1">
      <c r="A161" s="62"/>
      <c r="B161" s="62"/>
      <c r="C161" s="62"/>
      <c r="D161" s="62"/>
      <c r="E161" s="62"/>
      <c r="F161" s="63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4"/>
      <c r="AG161" s="64"/>
      <c r="AH161" s="64"/>
      <c r="AI161" s="64"/>
      <c r="AJ161" s="64"/>
      <c r="AK161" s="64"/>
      <c r="AL161" s="64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</row>
    <row r="162" ht="16.5" customHeight="1">
      <c r="A162" s="62"/>
      <c r="B162" s="62"/>
      <c r="C162" s="62"/>
      <c r="D162" s="62"/>
      <c r="E162" s="62"/>
      <c r="F162" s="63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4"/>
      <c r="AG162" s="64"/>
      <c r="AH162" s="64"/>
      <c r="AI162" s="64"/>
      <c r="AJ162" s="64"/>
      <c r="AK162" s="64"/>
      <c r="AL162" s="64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</row>
    <row r="163" ht="16.5" customHeight="1">
      <c r="A163" s="62"/>
      <c r="B163" s="62"/>
      <c r="C163" s="62"/>
      <c r="D163" s="62"/>
      <c r="E163" s="62"/>
      <c r="F163" s="63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4"/>
      <c r="AG163" s="64"/>
      <c r="AH163" s="64"/>
      <c r="AI163" s="64"/>
      <c r="AJ163" s="64"/>
      <c r="AK163" s="64"/>
      <c r="AL163" s="64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</row>
    <row r="164" ht="16.5" customHeight="1">
      <c r="A164" s="62"/>
      <c r="B164" s="62"/>
      <c r="C164" s="62"/>
      <c r="D164" s="62"/>
      <c r="E164" s="62"/>
      <c r="F164" s="63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4"/>
      <c r="AG164" s="64"/>
      <c r="AH164" s="64"/>
      <c r="AI164" s="64"/>
      <c r="AJ164" s="64"/>
      <c r="AK164" s="64"/>
      <c r="AL164" s="64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</row>
    <row r="165" ht="16.5" customHeight="1">
      <c r="A165" s="62"/>
      <c r="B165" s="62"/>
      <c r="C165" s="62"/>
      <c r="D165" s="62"/>
      <c r="E165" s="62"/>
      <c r="F165" s="63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4"/>
      <c r="AG165" s="64"/>
      <c r="AH165" s="64"/>
      <c r="AI165" s="64"/>
      <c r="AJ165" s="64"/>
      <c r="AK165" s="64"/>
      <c r="AL165" s="64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</row>
    <row r="166" ht="16.5" customHeight="1">
      <c r="A166" s="62"/>
      <c r="B166" s="62"/>
      <c r="C166" s="62"/>
      <c r="D166" s="62"/>
      <c r="E166" s="62"/>
      <c r="F166" s="63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4"/>
      <c r="AG166" s="64"/>
      <c r="AH166" s="64"/>
      <c r="AI166" s="64"/>
      <c r="AJ166" s="64"/>
      <c r="AK166" s="64"/>
      <c r="AL166" s="64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</row>
    <row r="167" ht="16.5" customHeight="1">
      <c r="A167" s="62"/>
      <c r="B167" s="62"/>
      <c r="C167" s="62"/>
      <c r="D167" s="62"/>
      <c r="E167" s="62"/>
      <c r="F167" s="63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4"/>
      <c r="AG167" s="64"/>
      <c r="AH167" s="64"/>
      <c r="AI167" s="64"/>
      <c r="AJ167" s="64"/>
      <c r="AK167" s="64"/>
      <c r="AL167" s="64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</row>
    <row r="168" ht="16.5" customHeight="1">
      <c r="A168" s="62"/>
      <c r="B168" s="62"/>
      <c r="C168" s="62"/>
      <c r="D168" s="62"/>
      <c r="E168" s="62"/>
      <c r="F168" s="63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4"/>
      <c r="AG168" s="64"/>
      <c r="AH168" s="64"/>
      <c r="AI168" s="64"/>
      <c r="AJ168" s="64"/>
      <c r="AK168" s="64"/>
      <c r="AL168" s="64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</row>
    <row r="169" ht="16.5" customHeight="1">
      <c r="A169" s="62"/>
      <c r="B169" s="62"/>
      <c r="C169" s="62"/>
      <c r="D169" s="62"/>
      <c r="E169" s="62"/>
      <c r="F169" s="63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4"/>
      <c r="AG169" s="64"/>
      <c r="AH169" s="64"/>
      <c r="AI169" s="64"/>
      <c r="AJ169" s="64"/>
      <c r="AK169" s="64"/>
      <c r="AL169" s="64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</row>
    <row r="170" ht="16.5" customHeight="1">
      <c r="A170" s="62"/>
      <c r="B170" s="62"/>
      <c r="C170" s="62"/>
      <c r="D170" s="62"/>
      <c r="E170" s="62"/>
      <c r="F170" s="63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4"/>
      <c r="AG170" s="64"/>
      <c r="AH170" s="64"/>
      <c r="AI170" s="64"/>
      <c r="AJ170" s="64"/>
      <c r="AK170" s="64"/>
      <c r="AL170" s="64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</row>
    <row r="171" ht="16.5" customHeight="1">
      <c r="A171" s="62"/>
      <c r="B171" s="62"/>
      <c r="C171" s="62"/>
      <c r="D171" s="62"/>
      <c r="E171" s="62"/>
      <c r="F171" s="63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4"/>
      <c r="AG171" s="64"/>
      <c r="AH171" s="64"/>
      <c r="AI171" s="64"/>
      <c r="AJ171" s="64"/>
      <c r="AK171" s="64"/>
      <c r="AL171" s="64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</row>
    <row r="172" ht="16.5" customHeight="1">
      <c r="A172" s="62"/>
      <c r="B172" s="62"/>
      <c r="C172" s="62"/>
      <c r="D172" s="62"/>
      <c r="E172" s="62"/>
      <c r="F172" s="63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4"/>
      <c r="AG172" s="64"/>
      <c r="AH172" s="64"/>
      <c r="AI172" s="64"/>
      <c r="AJ172" s="64"/>
      <c r="AK172" s="64"/>
      <c r="AL172" s="64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</row>
    <row r="173" ht="16.5" customHeight="1">
      <c r="A173" s="62"/>
      <c r="B173" s="62"/>
      <c r="C173" s="62"/>
      <c r="D173" s="62"/>
      <c r="E173" s="62"/>
      <c r="F173" s="63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4"/>
      <c r="AG173" s="64"/>
      <c r="AH173" s="64"/>
      <c r="AI173" s="64"/>
      <c r="AJ173" s="64"/>
      <c r="AK173" s="64"/>
      <c r="AL173" s="64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</row>
    <row r="174" ht="16.5" customHeight="1">
      <c r="A174" s="62"/>
      <c r="B174" s="62"/>
      <c r="C174" s="62"/>
      <c r="D174" s="62"/>
      <c r="E174" s="62"/>
      <c r="F174" s="63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4"/>
      <c r="AG174" s="64"/>
      <c r="AH174" s="64"/>
      <c r="AI174" s="64"/>
      <c r="AJ174" s="64"/>
      <c r="AK174" s="64"/>
      <c r="AL174" s="64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</row>
    <row r="175" ht="16.5" customHeight="1">
      <c r="A175" s="62"/>
      <c r="B175" s="62"/>
      <c r="C175" s="62"/>
      <c r="D175" s="62"/>
      <c r="E175" s="62"/>
      <c r="F175" s="63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4"/>
      <c r="AG175" s="64"/>
      <c r="AH175" s="64"/>
      <c r="AI175" s="64"/>
      <c r="AJ175" s="64"/>
      <c r="AK175" s="64"/>
      <c r="AL175" s="64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</row>
    <row r="176" ht="16.5" customHeight="1">
      <c r="A176" s="62"/>
      <c r="B176" s="62"/>
      <c r="C176" s="62"/>
      <c r="D176" s="62"/>
      <c r="E176" s="62"/>
      <c r="F176" s="63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4"/>
      <c r="AG176" s="64"/>
      <c r="AH176" s="64"/>
      <c r="AI176" s="64"/>
      <c r="AJ176" s="64"/>
      <c r="AK176" s="64"/>
      <c r="AL176" s="64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</row>
    <row r="177" ht="16.5" customHeight="1">
      <c r="A177" s="62"/>
      <c r="B177" s="62"/>
      <c r="C177" s="62"/>
      <c r="D177" s="62"/>
      <c r="E177" s="62"/>
      <c r="F177" s="63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4"/>
      <c r="AG177" s="64"/>
      <c r="AH177" s="64"/>
      <c r="AI177" s="64"/>
      <c r="AJ177" s="64"/>
      <c r="AK177" s="64"/>
      <c r="AL177" s="64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</row>
    <row r="178" ht="16.5" customHeight="1">
      <c r="A178" s="62"/>
      <c r="B178" s="62"/>
      <c r="C178" s="62"/>
      <c r="D178" s="62"/>
      <c r="E178" s="62"/>
      <c r="F178" s="63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4"/>
      <c r="AG178" s="64"/>
      <c r="AH178" s="64"/>
      <c r="AI178" s="64"/>
      <c r="AJ178" s="64"/>
      <c r="AK178" s="64"/>
      <c r="AL178" s="64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</row>
    <row r="179" ht="16.5" customHeight="1">
      <c r="A179" s="62"/>
      <c r="B179" s="62"/>
      <c r="C179" s="62"/>
      <c r="D179" s="62"/>
      <c r="E179" s="62"/>
      <c r="F179" s="63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4"/>
      <c r="AG179" s="64"/>
      <c r="AH179" s="64"/>
      <c r="AI179" s="64"/>
      <c r="AJ179" s="64"/>
      <c r="AK179" s="64"/>
      <c r="AL179" s="64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</row>
    <row r="180" ht="16.5" customHeight="1">
      <c r="A180" s="62"/>
      <c r="B180" s="62"/>
      <c r="C180" s="62"/>
      <c r="D180" s="62"/>
      <c r="E180" s="62"/>
      <c r="F180" s="63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4"/>
      <c r="AG180" s="64"/>
      <c r="AH180" s="64"/>
      <c r="AI180" s="64"/>
      <c r="AJ180" s="64"/>
      <c r="AK180" s="64"/>
      <c r="AL180" s="64"/>
      <c r="AM180" s="62"/>
      <c r="AN180" s="62"/>
      <c r="AO180" s="62"/>
      <c r="AP180" s="62"/>
      <c r="AQ180" s="62"/>
      <c r="AR180" s="62"/>
      <c r="AS180" s="62"/>
      <c r="AT180" s="62"/>
      <c r="AU180" s="62"/>
      <c r="AV180" s="62"/>
      <c r="AW180" s="62"/>
    </row>
    <row r="181" ht="16.5" customHeight="1">
      <c r="A181" s="62"/>
      <c r="B181" s="62"/>
      <c r="C181" s="62"/>
      <c r="D181" s="62"/>
      <c r="E181" s="62"/>
      <c r="F181" s="63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4"/>
      <c r="AG181" s="64"/>
      <c r="AH181" s="64"/>
      <c r="AI181" s="64"/>
      <c r="AJ181" s="64"/>
      <c r="AK181" s="64"/>
      <c r="AL181" s="64"/>
      <c r="AM181" s="62"/>
      <c r="AN181" s="62"/>
      <c r="AO181" s="62"/>
      <c r="AP181" s="62"/>
      <c r="AQ181" s="62"/>
      <c r="AR181" s="62"/>
      <c r="AS181" s="62"/>
      <c r="AT181" s="62"/>
      <c r="AU181" s="62"/>
      <c r="AV181" s="62"/>
      <c r="AW181" s="62"/>
    </row>
    <row r="182" ht="16.5" customHeight="1">
      <c r="A182" s="62"/>
      <c r="B182" s="62"/>
      <c r="C182" s="62"/>
      <c r="D182" s="62"/>
      <c r="E182" s="62"/>
      <c r="F182" s="63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4"/>
      <c r="AG182" s="64"/>
      <c r="AH182" s="64"/>
      <c r="AI182" s="64"/>
      <c r="AJ182" s="64"/>
      <c r="AK182" s="64"/>
      <c r="AL182" s="64"/>
      <c r="AM182" s="62"/>
      <c r="AN182" s="62"/>
      <c r="AO182" s="62"/>
      <c r="AP182" s="62"/>
      <c r="AQ182" s="62"/>
      <c r="AR182" s="62"/>
      <c r="AS182" s="62"/>
      <c r="AT182" s="62"/>
      <c r="AU182" s="62"/>
      <c r="AV182" s="62"/>
      <c r="AW182" s="62"/>
    </row>
    <row r="183" ht="16.5" customHeight="1">
      <c r="A183" s="62"/>
      <c r="B183" s="62"/>
      <c r="C183" s="62"/>
      <c r="D183" s="62"/>
      <c r="E183" s="62"/>
      <c r="F183" s="63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4"/>
      <c r="AG183" s="64"/>
      <c r="AH183" s="64"/>
      <c r="AI183" s="64"/>
      <c r="AJ183" s="64"/>
      <c r="AK183" s="64"/>
      <c r="AL183" s="64"/>
      <c r="AM183" s="62"/>
      <c r="AN183" s="62"/>
      <c r="AO183" s="62"/>
      <c r="AP183" s="62"/>
      <c r="AQ183" s="62"/>
      <c r="AR183" s="62"/>
      <c r="AS183" s="62"/>
      <c r="AT183" s="62"/>
      <c r="AU183" s="62"/>
      <c r="AV183" s="62"/>
      <c r="AW183" s="62"/>
    </row>
    <row r="184" ht="16.5" customHeight="1">
      <c r="A184" s="62"/>
      <c r="B184" s="62"/>
      <c r="C184" s="62"/>
      <c r="D184" s="62"/>
      <c r="E184" s="62"/>
      <c r="F184" s="63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4"/>
      <c r="AG184" s="64"/>
      <c r="AH184" s="64"/>
      <c r="AI184" s="64"/>
      <c r="AJ184" s="64"/>
      <c r="AK184" s="64"/>
      <c r="AL184" s="64"/>
      <c r="AM184" s="62"/>
      <c r="AN184" s="62"/>
      <c r="AO184" s="62"/>
      <c r="AP184" s="62"/>
      <c r="AQ184" s="62"/>
      <c r="AR184" s="62"/>
      <c r="AS184" s="62"/>
      <c r="AT184" s="62"/>
      <c r="AU184" s="62"/>
      <c r="AV184" s="62"/>
      <c r="AW184" s="62"/>
    </row>
    <row r="185" ht="16.5" customHeight="1">
      <c r="A185" s="62"/>
      <c r="B185" s="62"/>
      <c r="C185" s="62"/>
      <c r="D185" s="62"/>
      <c r="E185" s="62"/>
      <c r="F185" s="63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4"/>
      <c r="AG185" s="64"/>
      <c r="AH185" s="64"/>
      <c r="AI185" s="64"/>
      <c r="AJ185" s="64"/>
      <c r="AK185" s="64"/>
      <c r="AL185" s="64"/>
      <c r="AM185" s="62"/>
      <c r="AN185" s="62"/>
      <c r="AO185" s="62"/>
      <c r="AP185" s="62"/>
      <c r="AQ185" s="62"/>
      <c r="AR185" s="62"/>
      <c r="AS185" s="62"/>
      <c r="AT185" s="62"/>
      <c r="AU185" s="62"/>
      <c r="AV185" s="62"/>
      <c r="AW185" s="62"/>
    </row>
    <row r="186" ht="16.5" customHeight="1">
      <c r="A186" s="62"/>
      <c r="B186" s="62"/>
      <c r="C186" s="62"/>
      <c r="D186" s="62"/>
      <c r="E186" s="62"/>
      <c r="F186" s="63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4"/>
      <c r="AG186" s="64"/>
      <c r="AH186" s="64"/>
      <c r="AI186" s="64"/>
      <c r="AJ186" s="64"/>
      <c r="AK186" s="64"/>
      <c r="AL186" s="64"/>
      <c r="AM186" s="62"/>
      <c r="AN186" s="62"/>
      <c r="AO186" s="62"/>
      <c r="AP186" s="62"/>
      <c r="AQ186" s="62"/>
      <c r="AR186" s="62"/>
      <c r="AS186" s="62"/>
      <c r="AT186" s="62"/>
      <c r="AU186" s="62"/>
      <c r="AV186" s="62"/>
      <c r="AW186" s="62"/>
    </row>
    <row r="187" ht="16.5" customHeight="1">
      <c r="A187" s="62"/>
      <c r="B187" s="62"/>
      <c r="C187" s="62"/>
      <c r="D187" s="62"/>
      <c r="E187" s="62"/>
      <c r="F187" s="63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4"/>
      <c r="AG187" s="64"/>
      <c r="AH187" s="64"/>
      <c r="AI187" s="64"/>
      <c r="AJ187" s="64"/>
      <c r="AK187" s="64"/>
      <c r="AL187" s="64"/>
      <c r="AM187" s="62"/>
      <c r="AN187" s="62"/>
      <c r="AO187" s="62"/>
      <c r="AP187" s="62"/>
      <c r="AQ187" s="62"/>
      <c r="AR187" s="62"/>
      <c r="AS187" s="62"/>
      <c r="AT187" s="62"/>
      <c r="AU187" s="62"/>
      <c r="AV187" s="62"/>
      <c r="AW187" s="62"/>
    </row>
    <row r="188" ht="16.5" customHeight="1">
      <c r="A188" s="62"/>
      <c r="B188" s="62"/>
      <c r="C188" s="62"/>
      <c r="D188" s="62"/>
      <c r="E188" s="62"/>
      <c r="F188" s="63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4"/>
      <c r="AG188" s="64"/>
      <c r="AH188" s="64"/>
      <c r="AI188" s="64"/>
      <c r="AJ188" s="64"/>
      <c r="AK188" s="64"/>
      <c r="AL188" s="64"/>
      <c r="AM188" s="62"/>
      <c r="AN188" s="62"/>
      <c r="AO188" s="62"/>
      <c r="AP188" s="62"/>
      <c r="AQ188" s="62"/>
      <c r="AR188" s="62"/>
      <c r="AS188" s="62"/>
      <c r="AT188" s="62"/>
      <c r="AU188" s="62"/>
      <c r="AV188" s="62"/>
      <c r="AW188" s="62"/>
    </row>
    <row r="189" ht="16.5" customHeight="1">
      <c r="A189" s="62"/>
      <c r="B189" s="62"/>
      <c r="C189" s="62"/>
      <c r="D189" s="62"/>
      <c r="E189" s="62"/>
      <c r="F189" s="63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4"/>
      <c r="AG189" s="64"/>
      <c r="AH189" s="64"/>
      <c r="AI189" s="64"/>
      <c r="AJ189" s="64"/>
      <c r="AK189" s="64"/>
      <c r="AL189" s="64"/>
      <c r="AM189" s="62"/>
      <c r="AN189" s="62"/>
      <c r="AO189" s="62"/>
      <c r="AP189" s="62"/>
      <c r="AQ189" s="62"/>
      <c r="AR189" s="62"/>
      <c r="AS189" s="62"/>
      <c r="AT189" s="62"/>
      <c r="AU189" s="62"/>
      <c r="AV189" s="62"/>
      <c r="AW189" s="62"/>
    </row>
    <row r="190" ht="16.5" customHeight="1">
      <c r="A190" s="62"/>
      <c r="B190" s="62"/>
      <c r="C190" s="62"/>
      <c r="D190" s="62"/>
      <c r="E190" s="62"/>
      <c r="F190" s="63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4"/>
      <c r="AG190" s="64"/>
      <c r="AH190" s="64"/>
      <c r="AI190" s="64"/>
      <c r="AJ190" s="64"/>
      <c r="AK190" s="64"/>
      <c r="AL190" s="64"/>
      <c r="AM190" s="62"/>
      <c r="AN190" s="62"/>
      <c r="AO190" s="62"/>
      <c r="AP190" s="62"/>
      <c r="AQ190" s="62"/>
      <c r="AR190" s="62"/>
      <c r="AS190" s="62"/>
      <c r="AT190" s="62"/>
      <c r="AU190" s="62"/>
      <c r="AV190" s="62"/>
      <c r="AW190" s="62"/>
    </row>
    <row r="191" ht="16.5" customHeight="1">
      <c r="A191" s="62"/>
      <c r="B191" s="62"/>
      <c r="C191" s="62"/>
      <c r="D191" s="62"/>
      <c r="E191" s="62"/>
      <c r="F191" s="63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4"/>
      <c r="AG191" s="64"/>
      <c r="AH191" s="64"/>
      <c r="AI191" s="64"/>
      <c r="AJ191" s="64"/>
      <c r="AK191" s="64"/>
      <c r="AL191" s="64"/>
      <c r="AM191" s="62"/>
      <c r="AN191" s="62"/>
      <c r="AO191" s="62"/>
      <c r="AP191" s="62"/>
      <c r="AQ191" s="62"/>
      <c r="AR191" s="62"/>
      <c r="AS191" s="62"/>
      <c r="AT191" s="62"/>
      <c r="AU191" s="62"/>
      <c r="AV191" s="62"/>
      <c r="AW191" s="62"/>
    </row>
    <row r="192" ht="16.5" customHeight="1">
      <c r="A192" s="62"/>
      <c r="B192" s="62"/>
      <c r="C192" s="62"/>
      <c r="D192" s="62"/>
      <c r="E192" s="62"/>
      <c r="F192" s="63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4"/>
      <c r="AG192" s="64"/>
      <c r="AH192" s="64"/>
      <c r="AI192" s="64"/>
      <c r="AJ192" s="64"/>
      <c r="AK192" s="64"/>
      <c r="AL192" s="64"/>
      <c r="AM192" s="62"/>
      <c r="AN192" s="62"/>
      <c r="AO192" s="62"/>
      <c r="AP192" s="62"/>
      <c r="AQ192" s="62"/>
      <c r="AR192" s="62"/>
      <c r="AS192" s="62"/>
      <c r="AT192" s="62"/>
      <c r="AU192" s="62"/>
      <c r="AV192" s="62"/>
      <c r="AW192" s="62"/>
    </row>
    <row r="193" ht="16.5" customHeight="1">
      <c r="A193" s="62"/>
      <c r="B193" s="62"/>
      <c r="C193" s="62"/>
      <c r="D193" s="62"/>
      <c r="E193" s="62"/>
      <c r="F193" s="63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4"/>
      <c r="AG193" s="64"/>
      <c r="AH193" s="64"/>
      <c r="AI193" s="64"/>
      <c r="AJ193" s="64"/>
      <c r="AK193" s="64"/>
      <c r="AL193" s="64"/>
      <c r="AM193" s="62"/>
      <c r="AN193" s="62"/>
      <c r="AO193" s="62"/>
      <c r="AP193" s="62"/>
      <c r="AQ193" s="62"/>
      <c r="AR193" s="62"/>
      <c r="AS193" s="62"/>
      <c r="AT193" s="62"/>
      <c r="AU193" s="62"/>
      <c r="AV193" s="62"/>
      <c r="AW193" s="62"/>
    </row>
    <row r="194" ht="16.5" customHeight="1">
      <c r="A194" s="62"/>
      <c r="B194" s="62"/>
      <c r="C194" s="62"/>
      <c r="D194" s="62"/>
      <c r="E194" s="62"/>
      <c r="F194" s="63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4"/>
      <c r="AG194" s="64"/>
      <c r="AH194" s="64"/>
      <c r="AI194" s="64"/>
      <c r="AJ194" s="64"/>
      <c r="AK194" s="64"/>
      <c r="AL194" s="64"/>
      <c r="AM194" s="62"/>
      <c r="AN194" s="62"/>
      <c r="AO194" s="62"/>
      <c r="AP194" s="62"/>
      <c r="AQ194" s="62"/>
      <c r="AR194" s="62"/>
      <c r="AS194" s="62"/>
      <c r="AT194" s="62"/>
      <c r="AU194" s="62"/>
      <c r="AV194" s="62"/>
      <c r="AW194" s="62"/>
    </row>
    <row r="195" ht="16.5" customHeight="1">
      <c r="A195" s="62"/>
      <c r="B195" s="62"/>
      <c r="C195" s="62"/>
      <c r="D195" s="62"/>
      <c r="E195" s="62"/>
      <c r="F195" s="63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4"/>
      <c r="AG195" s="64"/>
      <c r="AH195" s="64"/>
      <c r="AI195" s="64"/>
      <c r="AJ195" s="64"/>
      <c r="AK195" s="64"/>
      <c r="AL195" s="64"/>
      <c r="AM195" s="62"/>
      <c r="AN195" s="62"/>
      <c r="AO195" s="62"/>
      <c r="AP195" s="62"/>
      <c r="AQ195" s="62"/>
      <c r="AR195" s="62"/>
      <c r="AS195" s="62"/>
      <c r="AT195" s="62"/>
      <c r="AU195" s="62"/>
      <c r="AV195" s="62"/>
      <c r="AW195" s="62"/>
    </row>
    <row r="196" ht="16.5" customHeight="1">
      <c r="A196" s="62"/>
      <c r="B196" s="62"/>
      <c r="C196" s="62"/>
      <c r="D196" s="62"/>
      <c r="E196" s="62"/>
      <c r="F196" s="63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4"/>
      <c r="AG196" s="64"/>
      <c r="AH196" s="64"/>
      <c r="AI196" s="64"/>
      <c r="AJ196" s="64"/>
      <c r="AK196" s="64"/>
      <c r="AL196" s="64"/>
      <c r="AM196" s="62"/>
      <c r="AN196" s="62"/>
      <c r="AO196" s="62"/>
      <c r="AP196" s="62"/>
      <c r="AQ196" s="62"/>
      <c r="AR196" s="62"/>
      <c r="AS196" s="62"/>
      <c r="AT196" s="62"/>
      <c r="AU196" s="62"/>
      <c r="AV196" s="62"/>
      <c r="AW196" s="62"/>
    </row>
    <row r="197" ht="16.5" customHeight="1">
      <c r="A197" s="62"/>
      <c r="B197" s="62"/>
      <c r="C197" s="62"/>
      <c r="D197" s="62"/>
      <c r="E197" s="62"/>
      <c r="F197" s="63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4"/>
      <c r="AG197" s="64"/>
      <c r="AH197" s="64"/>
      <c r="AI197" s="64"/>
      <c r="AJ197" s="64"/>
      <c r="AK197" s="64"/>
      <c r="AL197" s="64"/>
      <c r="AM197" s="62"/>
      <c r="AN197" s="62"/>
      <c r="AO197" s="62"/>
      <c r="AP197" s="62"/>
      <c r="AQ197" s="62"/>
      <c r="AR197" s="62"/>
      <c r="AS197" s="62"/>
      <c r="AT197" s="62"/>
      <c r="AU197" s="62"/>
      <c r="AV197" s="62"/>
      <c r="AW197" s="62"/>
    </row>
    <row r="198" ht="16.5" customHeight="1">
      <c r="A198" s="62"/>
      <c r="B198" s="62"/>
      <c r="C198" s="62"/>
      <c r="D198" s="62"/>
      <c r="E198" s="62"/>
      <c r="F198" s="63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4"/>
      <c r="AG198" s="64"/>
      <c r="AH198" s="64"/>
      <c r="AI198" s="64"/>
      <c r="AJ198" s="64"/>
      <c r="AK198" s="64"/>
      <c r="AL198" s="64"/>
      <c r="AM198" s="62"/>
      <c r="AN198" s="62"/>
      <c r="AO198" s="62"/>
      <c r="AP198" s="62"/>
      <c r="AQ198" s="62"/>
      <c r="AR198" s="62"/>
      <c r="AS198" s="62"/>
      <c r="AT198" s="62"/>
      <c r="AU198" s="62"/>
      <c r="AV198" s="62"/>
      <c r="AW198" s="62"/>
    </row>
    <row r="199" ht="16.5" customHeight="1">
      <c r="A199" s="62"/>
      <c r="B199" s="62"/>
      <c r="C199" s="62"/>
      <c r="D199" s="62"/>
      <c r="E199" s="62"/>
      <c r="F199" s="63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4"/>
      <c r="AG199" s="64"/>
      <c r="AH199" s="64"/>
      <c r="AI199" s="64"/>
      <c r="AJ199" s="64"/>
      <c r="AK199" s="64"/>
      <c r="AL199" s="64"/>
      <c r="AM199" s="62"/>
      <c r="AN199" s="62"/>
      <c r="AO199" s="62"/>
      <c r="AP199" s="62"/>
      <c r="AQ199" s="62"/>
      <c r="AR199" s="62"/>
      <c r="AS199" s="62"/>
      <c r="AT199" s="62"/>
      <c r="AU199" s="62"/>
      <c r="AV199" s="62"/>
      <c r="AW199" s="62"/>
    </row>
    <row r="200" ht="16.5" customHeight="1">
      <c r="A200" s="62"/>
      <c r="B200" s="62"/>
      <c r="C200" s="62"/>
      <c r="D200" s="62"/>
      <c r="E200" s="62"/>
      <c r="F200" s="63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4"/>
      <c r="AG200" s="64"/>
      <c r="AH200" s="64"/>
      <c r="AI200" s="64"/>
      <c r="AJ200" s="64"/>
      <c r="AK200" s="64"/>
      <c r="AL200" s="64"/>
      <c r="AM200" s="62"/>
      <c r="AN200" s="62"/>
      <c r="AO200" s="62"/>
      <c r="AP200" s="62"/>
      <c r="AQ200" s="62"/>
      <c r="AR200" s="62"/>
      <c r="AS200" s="62"/>
      <c r="AT200" s="62"/>
      <c r="AU200" s="62"/>
      <c r="AV200" s="62"/>
      <c r="AW200" s="62"/>
    </row>
    <row r="201" ht="16.5" customHeight="1">
      <c r="A201" s="62"/>
      <c r="B201" s="62"/>
      <c r="C201" s="62"/>
      <c r="D201" s="62"/>
      <c r="E201" s="62"/>
      <c r="F201" s="63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4"/>
      <c r="AG201" s="64"/>
      <c r="AH201" s="64"/>
      <c r="AI201" s="64"/>
      <c r="AJ201" s="64"/>
      <c r="AK201" s="64"/>
      <c r="AL201" s="64"/>
      <c r="AM201" s="62"/>
      <c r="AN201" s="62"/>
      <c r="AO201" s="62"/>
      <c r="AP201" s="62"/>
      <c r="AQ201" s="62"/>
      <c r="AR201" s="62"/>
      <c r="AS201" s="62"/>
      <c r="AT201" s="62"/>
      <c r="AU201" s="62"/>
      <c r="AV201" s="62"/>
      <c r="AW201" s="62"/>
    </row>
    <row r="202" ht="16.5" customHeight="1">
      <c r="A202" s="62"/>
      <c r="B202" s="62"/>
      <c r="C202" s="62"/>
      <c r="D202" s="62"/>
      <c r="E202" s="62"/>
      <c r="F202" s="63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4"/>
      <c r="AG202" s="64"/>
      <c r="AH202" s="64"/>
      <c r="AI202" s="64"/>
      <c r="AJ202" s="64"/>
      <c r="AK202" s="64"/>
      <c r="AL202" s="64"/>
      <c r="AM202" s="62"/>
      <c r="AN202" s="62"/>
      <c r="AO202" s="62"/>
      <c r="AP202" s="62"/>
      <c r="AQ202" s="62"/>
      <c r="AR202" s="62"/>
      <c r="AS202" s="62"/>
      <c r="AT202" s="62"/>
      <c r="AU202" s="62"/>
      <c r="AV202" s="62"/>
      <c r="AW202" s="62"/>
    </row>
    <row r="203" ht="16.5" customHeight="1">
      <c r="A203" s="62"/>
      <c r="B203" s="62"/>
      <c r="C203" s="62"/>
      <c r="D203" s="62"/>
      <c r="E203" s="62"/>
      <c r="F203" s="63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4"/>
      <c r="AG203" s="64"/>
      <c r="AH203" s="64"/>
      <c r="AI203" s="64"/>
      <c r="AJ203" s="64"/>
      <c r="AK203" s="64"/>
      <c r="AL203" s="64"/>
      <c r="AM203" s="62"/>
      <c r="AN203" s="62"/>
      <c r="AO203" s="62"/>
      <c r="AP203" s="62"/>
      <c r="AQ203" s="62"/>
      <c r="AR203" s="62"/>
      <c r="AS203" s="62"/>
      <c r="AT203" s="62"/>
      <c r="AU203" s="62"/>
      <c r="AV203" s="62"/>
      <c r="AW203" s="62"/>
    </row>
    <row r="204" ht="16.5" customHeight="1">
      <c r="A204" s="62"/>
      <c r="B204" s="62"/>
      <c r="C204" s="62"/>
      <c r="D204" s="62"/>
      <c r="E204" s="62"/>
      <c r="F204" s="63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4"/>
      <c r="AG204" s="64"/>
      <c r="AH204" s="64"/>
      <c r="AI204" s="64"/>
      <c r="AJ204" s="64"/>
      <c r="AK204" s="64"/>
      <c r="AL204" s="64"/>
      <c r="AM204" s="62"/>
      <c r="AN204" s="62"/>
      <c r="AO204" s="62"/>
      <c r="AP204" s="62"/>
      <c r="AQ204" s="62"/>
      <c r="AR204" s="62"/>
      <c r="AS204" s="62"/>
      <c r="AT204" s="62"/>
      <c r="AU204" s="62"/>
      <c r="AV204" s="62"/>
      <c r="AW204" s="62"/>
    </row>
    <row r="205" ht="16.5" customHeight="1">
      <c r="A205" s="62"/>
      <c r="B205" s="62"/>
      <c r="C205" s="62"/>
      <c r="D205" s="62"/>
      <c r="E205" s="62"/>
      <c r="F205" s="63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4"/>
      <c r="AG205" s="64"/>
      <c r="AH205" s="64"/>
      <c r="AI205" s="64"/>
      <c r="AJ205" s="64"/>
      <c r="AK205" s="64"/>
      <c r="AL205" s="64"/>
      <c r="AM205" s="62"/>
      <c r="AN205" s="62"/>
      <c r="AO205" s="62"/>
      <c r="AP205" s="62"/>
      <c r="AQ205" s="62"/>
      <c r="AR205" s="62"/>
      <c r="AS205" s="62"/>
      <c r="AT205" s="62"/>
      <c r="AU205" s="62"/>
      <c r="AV205" s="62"/>
      <c r="AW205" s="62"/>
    </row>
    <row r="206" ht="16.5" customHeight="1">
      <c r="A206" s="62"/>
      <c r="B206" s="62"/>
      <c r="C206" s="62"/>
      <c r="D206" s="62"/>
      <c r="E206" s="62"/>
      <c r="F206" s="63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4"/>
      <c r="AG206" s="64"/>
      <c r="AH206" s="64"/>
      <c r="AI206" s="64"/>
      <c r="AJ206" s="64"/>
      <c r="AK206" s="64"/>
      <c r="AL206" s="64"/>
      <c r="AM206" s="62"/>
      <c r="AN206" s="62"/>
      <c r="AO206" s="62"/>
      <c r="AP206" s="62"/>
      <c r="AQ206" s="62"/>
      <c r="AR206" s="62"/>
      <c r="AS206" s="62"/>
      <c r="AT206" s="62"/>
      <c r="AU206" s="62"/>
      <c r="AV206" s="62"/>
      <c r="AW206" s="62"/>
    </row>
    <row r="207" ht="16.5" customHeight="1">
      <c r="A207" s="62"/>
      <c r="B207" s="62"/>
      <c r="C207" s="62"/>
      <c r="D207" s="62"/>
      <c r="E207" s="62"/>
      <c r="F207" s="63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4"/>
      <c r="AG207" s="64"/>
      <c r="AH207" s="64"/>
      <c r="AI207" s="64"/>
      <c r="AJ207" s="64"/>
      <c r="AK207" s="64"/>
      <c r="AL207" s="64"/>
      <c r="AM207" s="62"/>
      <c r="AN207" s="62"/>
      <c r="AO207" s="62"/>
      <c r="AP207" s="62"/>
      <c r="AQ207" s="62"/>
      <c r="AR207" s="62"/>
      <c r="AS207" s="62"/>
      <c r="AT207" s="62"/>
      <c r="AU207" s="62"/>
      <c r="AV207" s="62"/>
      <c r="AW207" s="62"/>
    </row>
    <row r="208" ht="16.5" customHeight="1">
      <c r="A208" s="62"/>
      <c r="B208" s="62"/>
      <c r="C208" s="62"/>
      <c r="D208" s="62"/>
      <c r="E208" s="62"/>
      <c r="F208" s="63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4"/>
      <c r="AG208" s="64"/>
      <c r="AH208" s="64"/>
      <c r="AI208" s="64"/>
      <c r="AJ208" s="64"/>
      <c r="AK208" s="64"/>
      <c r="AL208" s="64"/>
      <c r="AM208" s="62"/>
      <c r="AN208" s="62"/>
      <c r="AO208" s="62"/>
      <c r="AP208" s="62"/>
      <c r="AQ208" s="62"/>
      <c r="AR208" s="62"/>
      <c r="AS208" s="62"/>
      <c r="AT208" s="62"/>
      <c r="AU208" s="62"/>
      <c r="AV208" s="62"/>
      <c r="AW208" s="62"/>
    </row>
    <row r="209" ht="16.5" customHeight="1">
      <c r="A209" s="62"/>
      <c r="B209" s="62"/>
      <c r="C209" s="62"/>
      <c r="D209" s="62"/>
      <c r="E209" s="62"/>
      <c r="F209" s="63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4"/>
      <c r="AG209" s="64"/>
      <c r="AH209" s="64"/>
      <c r="AI209" s="64"/>
      <c r="AJ209" s="64"/>
      <c r="AK209" s="64"/>
      <c r="AL209" s="64"/>
      <c r="AM209" s="62"/>
      <c r="AN209" s="62"/>
      <c r="AO209" s="62"/>
      <c r="AP209" s="62"/>
      <c r="AQ209" s="62"/>
      <c r="AR209" s="62"/>
      <c r="AS209" s="62"/>
      <c r="AT209" s="62"/>
      <c r="AU209" s="62"/>
      <c r="AV209" s="62"/>
      <c r="AW209" s="62"/>
    </row>
    <row r="210" ht="16.5" customHeight="1">
      <c r="A210" s="62"/>
      <c r="B210" s="62"/>
      <c r="C210" s="62"/>
      <c r="D210" s="62"/>
      <c r="E210" s="62"/>
      <c r="F210" s="63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4"/>
      <c r="AG210" s="64"/>
      <c r="AH210" s="64"/>
      <c r="AI210" s="64"/>
      <c r="AJ210" s="64"/>
      <c r="AK210" s="64"/>
      <c r="AL210" s="64"/>
      <c r="AM210" s="62"/>
      <c r="AN210" s="62"/>
      <c r="AO210" s="62"/>
      <c r="AP210" s="62"/>
      <c r="AQ210" s="62"/>
      <c r="AR210" s="62"/>
      <c r="AS210" s="62"/>
      <c r="AT210" s="62"/>
      <c r="AU210" s="62"/>
      <c r="AV210" s="62"/>
      <c r="AW210" s="62"/>
    </row>
    <row r="211" ht="16.5" customHeight="1">
      <c r="A211" s="62"/>
      <c r="B211" s="62"/>
      <c r="C211" s="62"/>
      <c r="D211" s="62"/>
      <c r="E211" s="62"/>
      <c r="F211" s="63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4"/>
      <c r="AG211" s="64"/>
      <c r="AH211" s="64"/>
      <c r="AI211" s="64"/>
      <c r="AJ211" s="64"/>
      <c r="AK211" s="64"/>
      <c r="AL211" s="64"/>
      <c r="AM211" s="62"/>
      <c r="AN211" s="62"/>
      <c r="AO211" s="62"/>
      <c r="AP211" s="62"/>
      <c r="AQ211" s="62"/>
      <c r="AR211" s="62"/>
      <c r="AS211" s="62"/>
      <c r="AT211" s="62"/>
      <c r="AU211" s="62"/>
      <c r="AV211" s="62"/>
      <c r="AW211" s="62"/>
    </row>
    <row r="212" ht="16.5" customHeight="1">
      <c r="A212" s="62"/>
      <c r="B212" s="62"/>
      <c r="C212" s="62"/>
      <c r="D212" s="62"/>
      <c r="E212" s="62"/>
      <c r="F212" s="63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4"/>
      <c r="AG212" s="64"/>
      <c r="AH212" s="64"/>
      <c r="AI212" s="64"/>
      <c r="AJ212" s="64"/>
      <c r="AK212" s="64"/>
      <c r="AL212" s="64"/>
      <c r="AM212" s="62"/>
      <c r="AN212" s="62"/>
      <c r="AO212" s="62"/>
      <c r="AP212" s="62"/>
      <c r="AQ212" s="62"/>
      <c r="AR212" s="62"/>
      <c r="AS212" s="62"/>
      <c r="AT212" s="62"/>
      <c r="AU212" s="62"/>
      <c r="AV212" s="62"/>
      <c r="AW212" s="62"/>
    </row>
    <row r="213" ht="16.5" customHeight="1">
      <c r="A213" s="62"/>
      <c r="B213" s="62"/>
      <c r="C213" s="62"/>
      <c r="D213" s="62"/>
      <c r="E213" s="62"/>
      <c r="F213" s="63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4"/>
      <c r="AG213" s="64"/>
      <c r="AH213" s="64"/>
      <c r="AI213" s="64"/>
      <c r="AJ213" s="64"/>
      <c r="AK213" s="64"/>
      <c r="AL213" s="64"/>
      <c r="AM213" s="62"/>
      <c r="AN213" s="62"/>
      <c r="AO213" s="62"/>
      <c r="AP213" s="62"/>
      <c r="AQ213" s="62"/>
      <c r="AR213" s="62"/>
      <c r="AS213" s="62"/>
      <c r="AT213" s="62"/>
      <c r="AU213" s="62"/>
      <c r="AV213" s="62"/>
      <c r="AW213" s="62"/>
    </row>
    <row r="214" ht="16.5" customHeight="1">
      <c r="A214" s="62"/>
      <c r="B214" s="62"/>
      <c r="C214" s="62"/>
      <c r="D214" s="62"/>
      <c r="E214" s="62"/>
      <c r="F214" s="63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4"/>
      <c r="AG214" s="64"/>
      <c r="AH214" s="64"/>
      <c r="AI214" s="64"/>
      <c r="AJ214" s="64"/>
      <c r="AK214" s="64"/>
      <c r="AL214" s="64"/>
      <c r="AM214" s="62"/>
      <c r="AN214" s="62"/>
      <c r="AO214" s="62"/>
      <c r="AP214" s="62"/>
      <c r="AQ214" s="62"/>
      <c r="AR214" s="62"/>
      <c r="AS214" s="62"/>
      <c r="AT214" s="62"/>
      <c r="AU214" s="62"/>
      <c r="AV214" s="62"/>
      <c r="AW214" s="62"/>
    </row>
    <row r="215" ht="16.5" customHeight="1">
      <c r="A215" s="62"/>
      <c r="B215" s="62"/>
      <c r="C215" s="62"/>
      <c r="D215" s="62"/>
      <c r="E215" s="62"/>
      <c r="F215" s="63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4"/>
      <c r="AG215" s="64"/>
      <c r="AH215" s="64"/>
      <c r="AI215" s="64"/>
      <c r="AJ215" s="64"/>
      <c r="AK215" s="64"/>
      <c r="AL215" s="64"/>
      <c r="AM215" s="62"/>
      <c r="AN215" s="62"/>
      <c r="AO215" s="62"/>
      <c r="AP215" s="62"/>
      <c r="AQ215" s="62"/>
      <c r="AR215" s="62"/>
      <c r="AS215" s="62"/>
      <c r="AT215" s="62"/>
      <c r="AU215" s="62"/>
      <c r="AV215" s="62"/>
      <c r="AW215" s="62"/>
    </row>
    <row r="216" ht="16.5" customHeight="1">
      <c r="A216" s="62"/>
      <c r="B216" s="62"/>
      <c r="C216" s="62"/>
      <c r="D216" s="62"/>
      <c r="E216" s="62"/>
      <c r="F216" s="63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4"/>
      <c r="AG216" s="64"/>
      <c r="AH216" s="64"/>
      <c r="AI216" s="64"/>
      <c r="AJ216" s="64"/>
      <c r="AK216" s="64"/>
      <c r="AL216" s="64"/>
      <c r="AM216" s="62"/>
      <c r="AN216" s="62"/>
      <c r="AO216" s="62"/>
      <c r="AP216" s="62"/>
      <c r="AQ216" s="62"/>
      <c r="AR216" s="62"/>
      <c r="AS216" s="62"/>
      <c r="AT216" s="62"/>
      <c r="AU216" s="62"/>
      <c r="AV216" s="62"/>
      <c r="AW216" s="62"/>
    </row>
    <row r="217" ht="16.5" customHeight="1">
      <c r="A217" s="62"/>
      <c r="B217" s="62"/>
      <c r="C217" s="62"/>
      <c r="D217" s="62"/>
      <c r="E217" s="62"/>
      <c r="F217" s="63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4"/>
      <c r="AG217" s="64"/>
      <c r="AH217" s="64"/>
      <c r="AI217" s="64"/>
      <c r="AJ217" s="64"/>
      <c r="AK217" s="64"/>
      <c r="AL217" s="64"/>
      <c r="AM217" s="62"/>
      <c r="AN217" s="62"/>
      <c r="AO217" s="62"/>
      <c r="AP217" s="62"/>
      <c r="AQ217" s="62"/>
      <c r="AR217" s="62"/>
      <c r="AS217" s="62"/>
      <c r="AT217" s="62"/>
      <c r="AU217" s="62"/>
      <c r="AV217" s="62"/>
      <c r="AW217" s="62"/>
    </row>
    <row r="218" ht="16.5" customHeight="1">
      <c r="A218" s="62"/>
      <c r="B218" s="62"/>
      <c r="C218" s="62"/>
      <c r="D218" s="62"/>
      <c r="E218" s="62"/>
      <c r="F218" s="63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4"/>
      <c r="AG218" s="64"/>
      <c r="AH218" s="64"/>
      <c r="AI218" s="64"/>
      <c r="AJ218" s="64"/>
      <c r="AK218" s="64"/>
      <c r="AL218" s="64"/>
      <c r="AM218" s="62"/>
      <c r="AN218" s="62"/>
      <c r="AO218" s="62"/>
      <c r="AP218" s="62"/>
      <c r="AQ218" s="62"/>
      <c r="AR218" s="62"/>
      <c r="AS218" s="62"/>
      <c r="AT218" s="62"/>
      <c r="AU218" s="62"/>
      <c r="AV218" s="62"/>
      <c r="AW218" s="62"/>
    </row>
    <row r="219" ht="16.5" customHeight="1">
      <c r="A219" s="62"/>
      <c r="B219" s="62"/>
      <c r="C219" s="62"/>
      <c r="D219" s="62"/>
      <c r="E219" s="62"/>
      <c r="F219" s="63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4"/>
      <c r="AG219" s="64"/>
      <c r="AH219" s="64"/>
      <c r="AI219" s="64"/>
      <c r="AJ219" s="64"/>
      <c r="AK219" s="64"/>
      <c r="AL219" s="64"/>
      <c r="AM219" s="62"/>
      <c r="AN219" s="62"/>
      <c r="AO219" s="62"/>
      <c r="AP219" s="62"/>
      <c r="AQ219" s="62"/>
      <c r="AR219" s="62"/>
      <c r="AS219" s="62"/>
      <c r="AT219" s="62"/>
      <c r="AU219" s="62"/>
      <c r="AV219" s="62"/>
      <c r="AW219" s="62"/>
    </row>
    <row r="220" ht="16.5" customHeight="1">
      <c r="A220" s="62"/>
      <c r="B220" s="62"/>
      <c r="C220" s="62"/>
      <c r="D220" s="62"/>
      <c r="E220" s="62"/>
      <c r="F220" s="63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4"/>
      <c r="AG220" s="64"/>
      <c r="AH220" s="64"/>
      <c r="AI220" s="64"/>
      <c r="AJ220" s="64"/>
      <c r="AK220" s="64"/>
      <c r="AL220" s="64"/>
      <c r="AM220" s="62"/>
      <c r="AN220" s="62"/>
      <c r="AO220" s="62"/>
      <c r="AP220" s="62"/>
      <c r="AQ220" s="62"/>
      <c r="AR220" s="62"/>
      <c r="AS220" s="62"/>
      <c r="AT220" s="62"/>
      <c r="AU220" s="62"/>
      <c r="AV220" s="62"/>
      <c r="AW220" s="62"/>
    </row>
    <row r="221" ht="16.5" customHeight="1">
      <c r="A221" s="62"/>
      <c r="B221" s="62"/>
      <c r="C221" s="62"/>
      <c r="D221" s="62"/>
      <c r="E221" s="62"/>
      <c r="F221" s="63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4"/>
      <c r="AG221" s="64"/>
      <c r="AH221" s="64"/>
      <c r="AI221" s="64"/>
      <c r="AJ221" s="64"/>
      <c r="AK221" s="64"/>
      <c r="AL221" s="64"/>
      <c r="AM221" s="62"/>
      <c r="AN221" s="62"/>
      <c r="AO221" s="62"/>
      <c r="AP221" s="62"/>
      <c r="AQ221" s="62"/>
      <c r="AR221" s="62"/>
      <c r="AS221" s="62"/>
      <c r="AT221" s="62"/>
      <c r="AU221" s="62"/>
      <c r="AV221" s="62"/>
      <c r="AW221" s="62"/>
    </row>
    <row r="222" ht="16.5" customHeight="1">
      <c r="A222" s="62"/>
      <c r="B222" s="62"/>
      <c r="C222" s="62"/>
      <c r="D222" s="62"/>
      <c r="E222" s="62"/>
      <c r="F222" s="63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4"/>
      <c r="AG222" s="64"/>
      <c r="AH222" s="64"/>
      <c r="AI222" s="64"/>
      <c r="AJ222" s="64"/>
      <c r="AK222" s="64"/>
      <c r="AL222" s="64"/>
      <c r="AM222" s="62"/>
      <c r="AN222" s="62"/>
      <c r="AO222" s="62"/>
      <c r="AP222" s="62"/>
      <c r="AQ222" s="62"/>
      <c r="AR222" s="62"/>
      <c r="AS222" s="62"/>
      <c r="AT222" s="62"/>
      <c r="AU222" s="62"/>
      <c r="AV222" s="62"/>
      <c r="AW222" s="62"/>
    </row>
    <row r="223" ht="16.5" customHeight="1">
      <c r="A223" s="62"/>
      <c r="B223" s="62"/>
      <c r="C223" s="62"/>
      <c r="D223" s="62"/>
      <c r="E223" s="62"/>
      <c r="F223" s="63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4"/>
      <c r="AG223" s="64"/>
      <c r="AH223" s="64"/>
      <c r="AI223" s="64"/>
      <c r="AJ223" s="64"/>
      <c r="AK223" s="64"/>
      <c r="AL223" s="64"/>
      <c r="AM223" s="62"/>
      <c r="AN223" s="62"/>
      <c r="AO223" s="62"/>
      <c r="AP223" s="62"/>
      <c r="AQ223" s="62"/>
      <c r="AR223" s="62"/>
      <c r="AS223" s="62"/>
      <c r="AT223" s="62"/>
      <c r="AU223" s="62"/>
      <c r="AV223" s="62"/>
      <c r="AW223" s="62"/>
    </row>
    <row r="224" ht="16.5" customHeight="1">
      <c r="A224" s="62"/>
      <c r="B224" s="62"/>
      <c r="C224" s="62"/>
      <c r="D224" s="62"/>
      <c r="E224" s="62"/>
      <c r="F224" s="63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4"/>
      <c r="AG224" s="64"/>
      <c r="AH224" s="64"/>
      <c r="AI224" s="64"/>
      <c r="AJ224" s="64"/>
      <c r="AK224" s="64"/>
      <c r="AL224" s="64"/>
      <c r="AM224" s="62"/>
      <c r="AN224" s="62"/>
      <c r="AO224" s="62"/>
      <c r="AP224" s="62"/>
      <c r="AQ224" s="62"/>
      <c r="AR224" s="62"/>
      <c r="AS224" s="62"/>
      <c r="AT224" s="62"/>
      <c r="AU224" s="62"/>
      <c r="AV224" s="62"/>
      <c r="AW224" s="62"/>
    </row>
    <row r="225" ht="16.5" customHeight="1">
      <c r="A225" s="62"/>
      <c r="B225" s="62"/>
      <c r="C225" s="62"/>
      <c r="D225" s="62"/>
      <c r="E225" s="62"/>
      <c r="F225" s="63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4"/>
      <c r="AG225" s="64"/>
      <c r="AH225" s="64"/>
      <c r="AI225" s="64"/>
      <c r="AJ225" s="64"/>
      <c r="AK225" s="64"/>
      <c r="AL225" s="64"/>
      <c r="AM225" s="62"/>
      <c r="AN225" s="62"/>
      <c r="AO225" s="62"/>
      <c r="AP225" s="62"/>
      <c r="AQ225" s="62"/>
      <c r="AR225" s="62"/>
      <c r="AS225" s="62"/>
      <c r="AT225" s="62"/>
      <c r="AU225" s="62"/>
      <c r="AV225" s="62"/>
      <c r="AW225" s="62"/>
    </row>
    <row r="226" ht="16.5" customHeight="1">
      <c r="A226" s="62"/>
      <c r="B226" s="62"/>
      <c r="C226" s="62"/>
      <c r="D226" s="62"/>
      <c r="E226" s="62"/>
      <c r="F226" s="63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4"/>
      <c r="AG226" s="64"/>
      <c r="AH226" s="64"/>
      <c r="AI226" s="64"/>
      <c r="AJ226" s="64"/>
      <c r="AK226" s="64"/>
      <c r="AL226" s="64"/>
      <c r="AM226" s="62"/>
      <c r="AN226" s="62"/>
      <c r="AO226" s="62"/>
      <c r="AP226" s="62"/>
      <c r="AQ226" s="62"/>
      <c r="AR226" s="62"/>
      <c r="AS226" s="62"/>
      <c r="AT226" s="62"/>
      <c r="AU226" s="62"/>
      <c r="AV226" s="62"/>
      <c r="AW226" s="62"/>
    </row>
    <row r="227" ht="16.5" customHeight="1">
      <c r="A227" s="62"/>
      <c r="B227" s="62"/>
      <c r="C227" s="62"/>
      <c r="D227" s="62"/>
      <c r="E227" s="62"/>
      <c r="F227" s="63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4"/>
      <c r="AG227" s="64"/>
      <c r="AH227" s="64"/>
      <c r="AI227" s="64"/>
      <c r="AJ227" s="64"/>
      <c r="AK227" s="64"/>
      <c r="AL227" s="64"/>
      <c r="AM227" s="62"/>
      <c r="AN227" s="62"/>
      <c r="AO227" s="62"/>
      <c r="AP227" s="62"/>
      <c r="AQ227" s="62"/>
      <c r="AR227" s="62"/>
      <c r="AS227" s="62"/>
      <c r="AT227" s="62"/>
      <c r="AU227" s="62"/>
      <c r="AV227" s="62"/>
      <c r="AW227" s="62"/>
    </row>
    <row r="228" ht="16.5" customHeight="1">
      <c r="A228" s="62"/>
      <c r="B228" s="62"/>
      <c r="C228" s="62"/>
      <c r="D228" s="62"/>
      <c r="E228" s="62"/>
      <c r="F228" s="63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4"/>
      <c r="AG228" s="64"/>
      <c r="AH228" s="64"/>
      <c r="AI228" s="64"/>
      <c r="AJ228" s="64"/>
      <c r="AK228" s="64"/>
      <c r="AL228" s="64"/>
      <c r="AM228" s="62"/>
      <c r="AN228" s="62"/>
      <c r="AO228" s="62"/>
      <c r="AP228" s="62"/>
      <c r="AQ228" s="62"/>
      <c r="AR228" s="62"/>
      <c r="AS228" s="62"/>
      <c r="AT228" s="62"/>
      <c r="AU228" s="62"/>
      <c r="AV228" s="62"/>
      <c r="AW228" s="62"/>
    </row>
    <row r="229" ht="16.5" customHeight="1">
      <c r="A229" s="62"/>
      <c r="B229" s="62"/>
      <c r="C229" s="62"/>
      <c r="D229" s="62"/>
      <c r="E229" s="62"/>
      <c r="F229" s="63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4"/>
      <c r="AG229" s="64"/>
      <c r="AH229" s="64"/>
      <c r="AI229" s="64"/>
      <c r="AJ229" s="64"/>
      <c r="AK229" s="64"/>
      <c r="AL229" s="64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</row>
    <row r="230" ht="16.5" customHeight="1">
      <c r="A230" s="62"/>
      <c r="B230" s="62"/>
      <c r="C230" s="62"/>
      <c r="D230" s="62"/>
      <c r="E230" s="62"/>
      <c r="F230" s="63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4"/>
      <c r="AG230" s="64"/>
      <c r="AH230" s="64"/>
      <c r="AI230" s="64"/>
      <c r="AJ230" s="64"/>
      <c r="AK230" s="64"/>
      <c r="AL230" s="64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</row>
    <row r="231" ht="16.5" customHeight="1">
      <c r="A231" s="62"/>
      <c r="B231" s="62"/>
      <c r="C231" s="62"/>
      <c r="D231" s="62"/>
      <c r="E231" s="62"/>
      <c r="F231" s="63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4"/>
      <c r="AG231" s="64"/>
      <c r="AH231" s="64"/>
      <c r="AI231" s="64"/>
      <c r="AJ231" s="64"/>
      <c r="AK231" s="64"/>
      <c r="AL231" s="64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</row>
    <row r="232" ht="16.5" customHeight="1">
      <c r="A232" s="62"/>
      <c r="B232" s="62"/>
      <c r="C232" s="62"/>
      <c r="D232" s="62"/>
      <c r="E232" s="62"/>
      <c r="F232" s="63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4"/>
      <c r="AG232" s="64"/>
      <c r="AH232" s="64"/>
      <c r="AI232" s="64"/>
      <c r="AJ232" s="64"/>
      <c r="AK232" s="64"/>
      <c r="AL232" s="64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</row>
    <row r="233" ht="16.5" customHeight="1">
      <c r="A233" s="62"/>
      <c r="B233" s="62"/>
      <c r="C233" s="62"/>
      <c r="D233" s="62"/>
      <c r="E233" s="62"/>
      <c r="F233" s="63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4"/>
      <c r="AG233" s="64"/>
      <c r="AH233" s="64"/>
      <c r="AI233" s="64"/>
      <c r="AJ233" s="64"/>
      <c r="AK233" s="64"/>
      <c r="AL233" s="64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</row>
    <row r="234" ht="16.5" customHeight="1">
      <c r="A234" s="62"/>
      <c r="B234" s="62"/>
      <c r="C234" s="62"/>
      <c r="D234" s="62"/>
      <c r="E234" s="62"/>
      <c r="F234" s="63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4"/>
      <c r="AG234" s="64"/>
      <c r="AH234" s="64"/>
      <c r="AI234" s="64"/>
      <c r="AJ234" s="64"/>
      <c r="AK234" s="64"/>
      <c r="AL234" s="64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</row>
    <row r="235" ht="16.5" customHeight="1">
      <c r="A235" s="62"/>
      <c r="B235" s="62"/>
      <c r="C235" s="62"/>
      <c r="D235" s="62"/>
      <c r="E235" s="62"/>
      <c r="F235" s="63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4"/>
      <c r="AG235" s="64"/>
      <c r="AH235" s="64"/>
      <c r="AI235" s="64"/>
      <c r="AJ235" s="64"/>
      <c r="AK235" s="64"/>
      <c r="AL235" s="64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</row>
    <row r="236" ht="16.5" customHeight="1">
      <c r="A236" s="62"/>
      <c r="B236" s="62"/>
      <c r="C236" s="62"/>
      <c r="D236" s="62"/>
      <c r="E236" s="62"/>
      <c r="F236" s="63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4"/>
      <c r="AG236" s="64"/>
      <c r="AH236" s="64"/>
      <c r="AI236" s="64"/>
      <c r="AJ236" s="64"/>
      <c r="AK236" s="64"/>
      <c r="AL236" s="64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</row>
    <row r="237" ht="16.5" customHeight="1">
      <c r="A237" s="62"/>
      <c r="B237" s="62"/>
      <c r="C237" s="62"/>
      <c r="D237" s="62"/>
      <c r="E237" s="62"/>
      <c r="F237" s="63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4"/>
      <c r="AG237" s="64"/>
      <c r="AH237" s="64"/>
      <c r="AI237" s="64"/>
      <c r="AJ237" s="64"/>
      <c r="AK237" s="64"/>
      <c r="AL237" s="64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</row>
    <row r="238" ht="16.5" customHeight="1">
      <c r="A238" s="62"/>
      <c r="B238" s="62"/>
      <c r="C238" s="62"/>
      <c r="D238" s="62"/>
      <c r="E238" s="62"/>
      <c r="F238" s="63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4"/>
      <c r="AG238" s="64"/>
      <c r="AH238" s="64"/>
      <c r="AI238" s="64"/>
      <c r="AJ238" s="64"/>
      <c r="AK238" s="64"/>
      <c r="AL238" s="64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</row>
    <row r="239" ht="16.5" customHeight="1">
      <c r="A239" s="62"/>
      <c r="B239" s="62"/>
      <c r="C239" s="62"/>
      <c r="D239" s="62"/>
      <c r="E239" s="62"/>
      <c r="F239" s="63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4"/>
      <c r="AG239" s="64"/>
      <c r="AH239" s="64"/>
      <c r="AI239" s="64"/>
      <c r="AJ239" s="64"/>
      <c r="AK239" s="64"/>
      <c r="AL239" s="64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</row>
    <row r="240" ht="16.5" customHeight="1">
      <c r="A240" s="62"/>
      <c r="B240" s="62"/>
      <c r="C240" s="62"/>
      <c r="D240" s="62"/>
      <c r="E240" s="62"/>
      <c r="F240" s="63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4"/>
      <c r="AG240" s="64"/>
      <c r="AH240" s="64"/>
      <c r="AI240" s="64"/>
      <c r="AJ240" s="64"/>
      <c r="AK240" s="64"/>
      <c r="AL240" s="64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</row>
    <row r="241" ht="16.5" customHeight="1">
      <c r="A241" s="62"/>
      <c r="B241" s="62"/>
      <c r="C241" s="62"/>
      <c r="D241" s="62"/>
      <c r="E241" s="62"/>
      <c r="F241" s="63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4"/>
      <c r="AG241" s="64"/>
      <c r="AH241" s="64"/>
      <c r="AI241" s="64"/>
      <c r="AJ241" s="64"/>
      <c r="AK241" s="64"/>
      <c r="AL241" s="64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</row>
    <row r="242" ht="16.5" customHeight="1">
      <c r="A242" s="62"/>
      <c r="B242" s="62"/>
      <c r="C242" s="62"/>
      <c r="D242" s="62"/>
      <c r="E242" s="62"/>
      <c r="F242" s="63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4"/>
      <c r="AG242" s="64"/>
      <c r="AH242" s="64"/>
      <c r="AI242" s="64"/>
      <c r="AJ242" s="64"/>
      <c r="AK242" s="64"/>
      <c r="AL242" s="64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</row>
    <row r="243" ht="16.5" customHeight="1">
      <c r="A243" s="62"/>
      <c r="B243" s="62"/>
      <c r="C243" s="62"/>
      <c r="D243" s="62"/>
      <c r="E243" s="62"/>
      <c r="F243" s="63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4"/>
      <c r="AG243" s="64"/>
      <c r="AH243" s="64"/>
      <c r="AI243" s="64"/>
      <c r="AJ243" s="64"/>
      <c r="AK243" s="64"/>
      <c r="AL243" s="64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</row>
    <row r="244" ht="16.5" customHeight="1">
      <c r="A244" s="62"/>
      <c r="B244" s="62"/>
      <c r="C244" s="62"/>
      <c r="D244" s="62"/>
      <c r="E244" s="62"/>
      <c r="F244" s="63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4"/>
      <c r="AG244" s="64"/>
      <c r="AH244" s="64"/>
      <c r="AI244" s="64"/>
      <c r="AJ244" s="64"/>
      <c r="AK244" s="64"/>
      <c r="AL244" s="64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</row>
    <row r="245" ht="16.5" customHeight="1">
      <c r="A245" s="62"/>
      <c r="B245" s="62"/>
      <c r="C245" s="62"/>
      <c r="D245" s="62"/>
      <c r="E245" s="62"/>
      <c r="F245" s="63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4"/>
      <c r="AG245" s="64"/>
      <c r="AH245" s="64"/>
      <c r="AI245" s="64"/>
      <c r="AJ245" s="64"/>
      <c r="AK245" s="64"/>
      <c r="AL245" s="64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</row>
    <row r="246" ht="16.5" customHeight="1">
      <c r="A246" s="62"/>
      <c r="B246" s="62"/>
      <c r="C246" s="62"/>
      <c r="D246" s="62"/>
      <c r="E246" s="62"/>
      <c r="F246" s="63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4"/>
      <c r="AG246" s="64"/>
      <c r="AH246" s="64"/>
      <c r="AI246" s="64"/>
      <c r="AJ246" s="64"/>
      <c r="AK246" s="64"/>
      <c r="AL246" s="64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</row>
    <row r="247" ht="16.5" customHeight="1">
      <c r="A247" s="62"/>
      <c r="B247" s="62"/>
      <c r="C247" s="62"/>
      <c r="D247" s="62"/>
      <c r="E247" s="62"/>
      <c r="F247" s="63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4"/>
      <c r="AG247" s="64"/>
      <c r="AH247" s="64"/>
      <c r="AI247" s="64"/>
      <c r="AJ247" s="64"/>
      <c r="AK247" s="64"/>
      <c r="AL247" s="64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</row>
    <row r="248" ht="16.5" customHeight="1">
      <c r="A248" s="62"/>
      <c r="B248" s="62"/>
      <c r="C248" s="62"/>
      <c r="D248" s="62"/>
      <c r="E248" s="62"/>
      <c r="F248" s="63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4"/>
      <c r="AG248" s="64"/>
      <c r="AH248" s="64"/>
      <c r="AI248" s="64"/>
      <c r="AJ248" s="64"/>
      <c r="AK248" s="64"/>
      <c r="AL248" s="64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</row>
    <row r="249" ht="16.5" customHeight="1">
      <c r="A249" s="62"/>
      <c r="B249" s="62"/>
      <c r="C249" s="62"/>
      <c r="D249" s="62"/>
      <c r="E249" s="62"/>
      <c r="F249" s="63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4"/>
      <c r="AG249" s="64"/>
      <c r="AH249" s="64"/>
      <c r="AI249" s="64"/>
      <c r="AJ249" s="64"/>
      <c r="AK249" s="64"/>
      <c r="AL249" s="64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</row>
    <row r="250" ht="16.5" customHeight="1">
      <c r="A250" s="62"/>
      <c r="B250" s="62"/>
      <c r="C250" s="62"/>
      <c r="D250" s="62"/>
      <c r="E250" s="62"/>
      <c r="F250" s="63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4"/>
      <c r="AG250" s="64"/>
      <c r="AH250" s="64"/>
      <c r="AI250" s="64"/>
      <c r="AJ250" s="64"/>
      <c r="AK250" s="64"/>
      <c r="AL250" s="64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</row>
    <row r="251" ht="16.5" customHeight="1">
      <c r="A251" s="62"/>
      <c r="B251" s="62"/>
      <c r="C251" s="62"/>
      <c r="D251" s="62"/>
      <c r="E251" s="62"/>
      <c r="F251" s="63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4"/>
      <c r="AG251" s="64"/>
      <c r="AH251" s="64"/>
      <c r="AI251" s="64"/>
      <c r="AJ251" s="64"/>
      <c r="AK251" s="64"/>
      <c r="AL251" s="64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</row>
    <row r="252" ht="16.5" customHeight="1">
      <c r="A252" s="62"/>
      <c r="B252" s="62"/>
      <c r="C252" s="62"/>
      <c r="D252" s="62"/>
      <c r="E252" s="62"/>
      <c r="F252" s="63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4"/>
      <c r="AG252" s="64"/>
      <c r="AH252" s="64"/>
      <c r="AI252" s="64"/>
      <c r="AJ252" s="64"/>
      <c r="AK252" s="64"/>
      <c r="AL252" s="64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</row>
    <row r="253" ht="16.5" customHeight="1">
      <c r="A253" s="62"/>
      <c r="B253" s="62"/>
      <c r="C253" s="62"/>
      <c r="D253" s="62"/>
      <c r="E253" s="62"/>
      <c r="F253" s="63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4"/>
      <c r="AG253" s="64"/>
      <c r="AH253" s="64"/>
      <c r="AI253" s="64"/>
      <c r="AJ253" s="64"/>
      <c r="AK253" s="64"/>
      <c r="AL253" s="64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</row>
    <row r="254" ht="16.5" customHeight="1">
      <c r="A254" s="62"/>
      <c r="B254" s="62"/>
      <c r="C254" s="62"/>
      <c r="D254" s="62"/>
      <c r="E254" s="62"/>
      <c r="F254" s="63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4"/>
      <c r="AG254" s="64"/>
      <c r="AH254" s="64"/>
      <c r="AI254" s="64"/>
      <c r="AJ254" s="64"/>
      <c r="AK254" s="64"/>
      <c r="AL254" s="64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</row>
    <row r="255" ht="16.5" customHeight="1">
      <c r="A255" s="62"/>
      <c r="B255" s="62"/>
      <c r="C255" s="62"/>
      <c r="D255" s="62"/>
      <c r="E255" s="62"/>
      <c r="F255" s="63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4"/>
      <c r="AG255" s="64"/>
      <c r="AH255" s="64"/>
      <c r="AI255" s="64"/>
      <c r="AJ255" s="64"/>
      <c r="AK255" s="64"/>
      <c r="AL255" s="64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</row>
    <row r="256" ht="16.5" customHeight="1">
      <c r="A256" s="62"/>
      <c r="B256" s="62"/>
      <c r="C256" s="62"/>
      <c r="D256" s="62"/>
      <c r="E256" s="62"/>
      <c r="F256" s="63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4"/>
      <c r="AG256" s="64"/>
      <c r="AH256" s="64"/>
      <c r="AI256" s="64"/>
      <c r="AJ256" s="64"/>
      <c r="AK256" s="64"/>
      <c r="AL256" s="64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</row>
    <row r="257" ht="16.5" customHeight="1">
      <c r="A257" s="62"/>
      <c r="B257" s="62"/>
      <c r="C257" s="62"/>
      <c r="D257" s="62"/>
      <c r="E257" s="62"/>
      <c r="F257" s="63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4"/>
      <c r="AG257" s="64"/>
      <c r="AH257" s="64"/>
      <c r="AI257" s="64"/>
      <c r="AJ257" s="64"/>
      <c r="AK257" s="64"/>
      <c r="AL257" s="64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</row>
    <row r="258" ht="16.5" customHeight="1">
      <c r="A258" s="62"/>
      <c r="B258" s="62"/>
      <c r="C258" s="62"/>
      <c r="D258" s="62"/>
      <c r="E258" s="62"/>
      <c r="F258" s="63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4"/>
      <c r="AG258" s="64"/>
      <c r="AH258" s="64"/>
      <c r="AI258" s="64"/>
      <c r="AJ258" s="64"/>
      <c r="AK258" s="64"/>
      <c r="AL258" s="64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</row>
    <row r="259" ht="16.5" customHeight="1">
      <c r="A259" s="62"/>
      <c r="B259" s="62"/>
      <c r="C259" s="62"/>
      <c r="D259" s="62"/>
      <c r="E259" s="62"/>
      <c r="F259" s="63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4"/>
      <c r="AG259" s="64"/>
      <c r="AH259" s="64"/>
      <c r="AI259" s="64"/>
      <c r="AJ259" s="64"/>
      <c r="AK259" s="64"/>
      <c r="AL259" s="64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</row>
    <row r="260" ht="16.5" customHeight="1">
      <c r="A260" s="62"/>
      <c r="B260" s="62"/>
      <c r="C260" s="62"/>
      <c r="D260" s="62"/>
      <c r="E260" s="62"/>
      <c r="F260" s="63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4"/>
      <c r="AG260" s="64"/>
      <c r="AH260" s="64"/>
      <c r="AI260" s="64"/>
      <c r="AJ260" s="64"/>
      <c r="AK260" s="64"/>
      <c r="AL260" s="64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</row>
    <row r="261" ht="16.5" customHeight="1">
      <c r="A261" s="62"/>
      <c r="B261" s="62"/>
      <c r="C261" s="62"/>
      <c r="D261" s="62"/>
      <c r="E261" s="62"/>
      <c r="F261" s="63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4"/>
      <c r="AG261" s="64"/>
      <c r="AH261" s="64"/>
      <c r="AI261" s="64"/>
      <c r="AJ261" s="64"/>
      <c r="AK261" s="64"/>
      <c r="AL261" s="64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</row>
    <row r="262" ht="16.5" customHeight="1">
      <c r="A262" s="62"/>
      <c r="B262" s="62"/>
      <c r="C262" s="62"/>
      <c r="D262" s="62"/>
      <c r="E262" s="62"/>
      <c r="F262" s="63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4"/>
      <c r="AG262" s="64"/>
      <c r="AH262" s="64"/>
      <c r="AI262" s="64"/>
      <c r="AJ262" s="64"/>
      <c r="AK262" s="64"/>
      <c r="AL262" s="64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</row>
    <row r="263" ht="16.5" customHeight="1">
      <c r="A263" s="62"/>
      <c r="B263" s="62"/>
      <c r="C263" s="62"/>
      <c r="D263" s="62"/>
      <c r="E263" s="62"/>
      <c r="F263" s="63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4"/>
      <c r="AG263" s="64"/>
      <c r="AH263" s="64"/>
      <c r="AI263" s="64"/>
      <c r="AJ263" s="64"/>
      <c r="AK263" s="64"/>
      <c r="AL263" s="64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</row>
    <row r="264" ht="16.5" customHeight="1">
      <c r="A264" s="62"/>
      <c r="B264" s="62"/>
      <c r="C264" s="62"/>
      <c r="D264" s="62"/>
      <c r="E264" s="62"/>
      <c r="F264" s="63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4"/>
      <c r="AG264" s="64"/>
      <c r="AH264" s="64"/>
      <c r="AI264" s="64"/>
      <c r="AJ264" s="64"/>
      <c r="AK264" s="64"/>
      <c r="AL264" s="64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</row>
    <row r="265" ht="16.5" customHeight="1">
      <c r="A265" s="62"/>
      <c r="B265" s="62"/>
      <c r="C265" s="62"/>
      <c r="D265" s="62"/>
      <c r="E265" s="62"/>
      <c r="F265" s="63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4"/>
      <c r="AG265" s="64"/>
      <c r="AH265" s="64"/>
      <c r="AI265" s="64"/>
      <c r="AJ265" s="64"/>
      <c r="AK265" s="64"/>
      <c r="AL265" s="64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</row>
    <row r="266" ht="16.5" customHeight="1">
      <c r="A266" s="62"/>
      <c r="B266" s="62"/>
      <c r="C266" s="62"/>
      <c r="D266" s="62"/>
      <c r="E266" s="62"/>
      <c r="F266" s="63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4"/>
      <c r="AG266" s="64"/>
      <c r="AH266" s="64"/>
      <c r="AI266" s="64"/>
      <c r="AJ266" s="64"/>
      <c r="AK266" s="64"/>
      <c r="AL266" s="64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</row>
    <row r="267" ht="16.5" customHeight="1">
      <c r="A267" s="62"/>
      <c r="B267" s="62"/>
      <c r="C267" s="62"/>
      <c r="D267" s="62"/>
      <c r="E267" s="62"/>
      <c r="F267" s="63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4"/>
      <c r="AG267" s="64"/>
      <c r="AH267" s="64"/>
      <c r="AI267" s="64"/>
      <c r="AJ267" s="64"/>
      <c r="AK267" s="64"/>
      <c r="AL267" s="64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</row>
    <row r="268" ht="16.5" customHeight="1">
      <c r="A268" s="62"/>
      <c r="B268" s="62"/>
      <c r="C268" s="62"/>
      <c r="D268" s="62"/>
      <c r="E268" s="62"/>
      <c r="F268" s="63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4"/>
      <c r="AG268" s="64"/>
      <c r="AH268" s="64"/>
      <c r="AI268" s="64"/>
      <c r="AJ268" s="64"/>
      <c r="AK268" s="64"/>
      <c r="AL268" s="64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</row>
    <row r="269" ht="16.5" customHeight="1">
      <c r="A269" s="62"/>
      <c r="B269" s="62"/>
      <c r="C269" s="62"/>
      <c r="D269" s="62"/>
      <c r="E269" s="62"/>
      <c r="F269" s="63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4"/>
      <c r="AG269" s="64"/>
      <c r="AH269" s="64"/>
      <c r="AI269" s="64"/>
      <c r="AJ269" s="64"/>
      <c r="AK269" s="64"/>
      <c r="AL269" s="64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</row>
    <row r="270" ht="16.5" customHeight="1">
      <c r="A270" s="62"/>
      <c r="B270" s="62"/>
      <c r="C270" s="62"/>
      <c r="D270" s="62"/>
      <c r="E270" s="62"/>
      <c r="F270" s="63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4"/>
      <c r="AG270" s="64"/>
      <c r="AH270" s="64"/>
      <c r="AI270" s="64"/>
      <c r="AJ270" s="64"/>
      <c r="AK270" s="64"/>
      <c r="AL270" s="64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</row>
    <row r="271" ht="16.5" customHeight="1">
      <c r="A271" s="62"/>
      <c r="B271" s="62"/>
      <c r="C271" s="62"/>
      <c r="D271" s="62"/>
      <c r="E271" s="62"/>
      <c r="F271" s="63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4"/>
      <c r="AG271" s="64"/>
      <c r="AH271" s="64"/>
      <c r="AI271" s="64"/>
      <c r="AJ271" s="64"/>
      <c r="AK271" s="64"/>
      <c r="AL271" s="64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</row>
    <row r="272" ht="16.5" customHeight="1">
      <c r="A272" s="62"/>
      <c r="B272" s="62"/>
      <c r="C272" s="62"/>
      <c r="D272" s="62"/>
      <c r="E272" s="62"/>
      <c r="F272" s="63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4"/>
      <c r="AG272" s="64"/>
      <c r="AH272" s="64"/>
      <c r="AI272" s="64"/>
      <c r="AJ272" s="64"/>
      <c r="AK272" s="64"/>
      <c r="AL272" s="64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</row>
    <row r="273" ht="16.5" customHeight="1">
      <c r="A273" s="62"/>
      <c r="B273" s="62"/>
      <c r="C273" s="62"/>
      <c r="D273" s="62"/>
      <c r="E273" s="62"/>
      <c r="F273" s="63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4"/>
      <c r="AG273" s="64"/>
      <c r="AH273" s="64"/>
      <c r="AI273" s="64"/>
      <c r="AJ273" s="64"/>
      <c r="AK273" s="64"/>
      <c r="AL273" s="64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</row>
    <row r="274" ht="16.5" customHeight="1">
      <c r="A274" s="62"/>
      <c r="B274" s="62"/>
      <c r="C274" s="62"/>
      <c r="D274" s="62"/>
      <c r="E274" s="62"/>
      <c r="F274" s="63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4"/>
      <c r="AG274" s="64"/>
      <c r="AH274" s="64"/>
      <c r="AI274" s="64"/>
      <c r="AJ274" s="64"/>
      <c r="AK274" s="64"/>
      <c r="AL274" s="64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</row>
    <row r="275" ht="16.5" customHeight="1">
      <c r="A275" s="62"/>
      <c r="B275" s="62"/>
      <c r="C275" s="62"/>
      <c r="D275" s="62"/>
      <c r="E275" s="62"/>
      <c r="F275" s="63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4"/>
      <c r="AG275" s="64"/>
      <c r="AH275" s="64"/>
      <c r="AI275" s="64"/>
      <c r="AJ275" s="64"/>
      <c r="AK275" s="64"/>
      <c r="AL275" s="64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</row>
    <row r="276" ht="16.5" customHeight="1">
      <c r="A276" s="62"/>
      <c r="B276" s="62"/>
      <c r="C276" s="62"/>
      <c r="D276" s="62"/>
      <c r="E276" s="62"/>
      <c r="F276" s="63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4"/>
      <c r="AG276" s="64"/>
      <c r="AH276" s="64"/>
      <c r="AI276" s="64"/>
      <c r="AJ276" s="64"/>
      <c r="AK276" s="64"/>
      <c r="AL276" s="64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</row>
    <row r="277" ht="16.5" customHeight="1">
      <c r="A277" s="62"/>
      <c r="B277" s="62"/>
      <c r="C277" s="62"/>
      <c r="D277" s="62"/>
      <c r="E277" s="62"/>
      <c r="F277" s="63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4"/>
      <c r="AG277" s="64"/>
      <c r="AH277" s="64"/>
      <c r="AI277" s="64"/>
      <c r="AJ277" s="64"/>
      <c r="AK277" s="64"/>
      <c r="AL277" s="64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</row>
    <row r="278" ht="16.5" customHeight="1">
      <c r="A278" s="62"/>
      <c r="B278" s="62"/>
      <c r="C278" s="62"/>
      <c r="D278" s="62"/>
      <c r="E278" s="62"/>
      <c r="F278" s="63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4"/>
      <c r="AG278" s="64"/>
      <c r="AH278" s="64"/>
      <c r="AI278" s="64"/>
      <c r="AJ278" s="64"/>
      <c r="AK278" s="64"/>
      <c r="AL278" s="64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</row>
    <row r="279" ht="16.5" customHeight="1">
      <c r="A279" s="62"/>
      <c r="B279" s="62"/>
      <c r="C279" s="62"/>
      <c r="D279" s="62"/>
      <c r="E279" s="62"/>
      <c r="F279" s="63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4"/>
      <c r="AG279" s="64"/>
      <c r="AH279" s="64"/>
      <c r="AI279" s="64"/>
      <c r="AJ279" s="64"/>
      <c r="AK279" s="64"/>
      <c r="AL279" s="64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</row>
    <row r="280" ht="16.5" customHeight="1">
      <c r="A280" s="62"/>
      <c r="B280" s="62"/>
      <c r="C280" s="62"/>
      <c r="D280" s="62"/>
      <c r="E280" s="62"/>
      <c r="F280" s="63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4"/>
      <c r="AG280" s="64"/>
      <c r="AH280" s="64"/>
      <c r="AI280" s="64"/>
      <c r="AJ280" s="64"/>
      <c r="AK280" s="64"/>
      <c r="AL280" s="64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</row>
    <row r="281" ht="16.5" customHeight="1">
      <c r="A281" s="62"/>
      <c r="B281" s="62"/>
      <c r="C281" s="62"/>
      <c r="D281" s="62"/>
      <c r="E281" s="62"/>
      <c r="F281" s="63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4"/>
      <c r="AG281" s="64"/>
      <c r="AH281" s="64"/>
      <c r="AI281" s="64"/>
      <c r="AJ281" s="64"/>
      <c r="AK281" s="64"/>
      <c r="AL281" s="64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</row>
    <row r="282" ht="16.5" customHeight="1">
      <c r="A282" s="62"/>
      <c r="B282" s="62"/>
      <c r="C282" s="62"/>
      <c r="D282" s="62"/>
      <c r="E282" s="62"/>
      <c r="F282" s="63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4"/>
      <c r="AG282" s="64"/>
      <c r="AH282" s="64"/>
      <c r="AI282" s="64"/>
      <c r="AJ282" s="64"/>
      <c r="AK282" s="64"/>
      <c r="AL282" s="64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</row>
    <row r="283" ht="16.5" customHeight="1">
      <c r="A283" s="62"/>
      <c r="B283" s="62"/>
      <c r="C283" s="62"/>
      <c r="D283" s="62"/>
      <c r="E283" s="62"/>
      <c r="F283" s="63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4"/>
      <c r="AG283" s="64"/>
      <c r="AH283" s="64"/>
      <c r="AI283" s="64"/>
      <c r="AJ283" s="64"/>
      <c r="AK283" s="64"/>
      <c r="AL283" s="64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</row>
    <row r="284" ht="16.5" customHeight="1">
      <c r="A284" s="62"/>
      <c r="B284" s="62"/>
      <c r="C284" s="62"/>
      <c r="D284" s="62"/>
      <c r="E284" s="62"/>
      <c r="F284" s="63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4"/>
      <c r="AG284" s="64"/>
      <c r="AH284" s="64"/>
      <c r="AI284" s="64"/>
      <c r="AJ284" s="64"/>
      <c r="AK284" s="64"/>
      <c r="AL284" s="64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</row>
    <row r="285" ht="16.5" customHeight="1">
      <c r="A285" s="62"/>
      <c r="B285" s="62"/>
      <c r="C285" s="62"/>
      <c r="D285" s="62"/>
      <c r="E285" s="62"/>
      <c r="F285" s="63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4"/>
      <c r="AG285" s="64"/>
      <c r="AH285" s="64"/>
      <c r="AI285" s="64"/>
      <c r="AJ285" s="64"/>
      <c r="AK285" s="64"/>
      <c r="AL285" s="64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</row>
    <row r="286" ht="16.5" customHeight="1">
      <c r="A286" s="62"/>
      <c r="B286" s="62"/>
      <c r="C286" s="62"/>
      <c r="D286" s="62"/>
      <c r="E286" s="62"/>
      <c r="F286" s="63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4"/>
      <c r="AG286" s="64"/>
      <c r="AH286" s="64"/>
      <c r="AI286" s="64"/>
      <c r="AJ286" s="64"/>
      <c r="AK286" s="64"/>
      <c r="AL286" s="64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</row>
    <row r="287" ht="16.5" customHeight="1">
      <c r="A287" s="62"/>
      <c r="B287" s="62"/>
      <c r="C287" s="62"/>
      <c r="D287" s="62"/>
      <c r="E287" s="62"/>
      <c r="F287" s="63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4"/>
      <c r="AG287" s="64"/>
      <c r="AH287" s="64"/>
      <c r="AI287" s="64"/>
      <c r="AJ287" s="64"/>
      <c r="AK287" s="64"/>
      <c r="AL287" s="64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</row>
    <row r="288" ht="16.5" customHeight="1">
      <c r="A288" s="62"/>
      <c r="B288" s="62"/>
      <c r="C288" s="62"/>
      <c r="D288" s="62"/>
      <c r="E288" s="62"/>
      <c r="F288" s="63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4"/>
      <c r="AG288" s="64"/>
      <c r="AH288" s="64"/>
      <c r="AI288" s="64"/>
      <c r="AJ288" s="64"/>
      <c r="AK288" s="64"/>
      <c r="AL288" s="64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</row>
    <row r="289" ht="16.5" customHeight="1">
      <c r="A289" s="62"/>
      <c r="B289" s="62"/>
      <c r="C289" s="62"/>
      <c r="D289" s="62"/>
      <c r="E289" s="62"/>
      <c r="F289" s="63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4"/>
      <c r="AG289" s="64"/>
      <c r="AH289" s="64"/>
      <c r="AI289" s="64"/>
      <c r="AJ289" s="64"/>
      <c r="AK289" s="64"/>
      <c r="AL289" s="64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</row>
    <row r="290" ht="16.5" customHeight="1">
      <c r="A290" s="62"/>
      <c r="B290" s="62"/>
      <c r="C290" s="62"/>
      <c r="D290" s="62"/>
      <c r="E290" s="62"/>
      <c r="F290" s="63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4"/>
      <c r="AG290" s="64"/>
      <c r="AH290" s="64"/>
      <c r="AI290" s="64"/>
      <c r="AJ290" s="64"/>
      <c r="AK290" s="64"/>
      <c r="AL290" s="64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</row>
    <row r="291" ht="16.5" customHeight="1">
      <c r="A291" s="62"/>
      <c r="B291" s="62"/>
      <c r="C291" s="62"/>
      <c r="D291" s="62"/>
      <c r="E291" s="62"/>
      <c r="F291" s="63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4"/>
      <c r="AG291" s="64"/>
      <c r="AH291" s="64"/>
      <c r="AI291" s="64"/>
      <c r="AJ291" s="64"/>
      <c r="AK291" s="64"/>
      <c r="AL291" s="64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</row>
    <row r="292" ht="16.5" customHeight="1">
      <c r="A292" s="62"/>
      <c r="B292" s="62"/>
      <c r="C292" s="62"/>
      <c r="D292" s="62"/>
      <c r="E292" s="62"/>
      <c r="F292" s="63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4"/>
      <c r="AG292" s="64"/>
      <c r="AH292" s="64"/>
      <c r="AI292" s="64"/>
      <c r="AJ292" s="64"/>
      <c r="AK292" s="64"/>
      <c r="AL292" s="64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</row>
    <row r="293" ht="16.5" customHeight="1">
      <c r="A293" s="62"/>
      <c r="B293" s="62"/>
      <c r="C293" s="62"/>
      <c r="D293" s="62"/>
      <c r="E293" s="62"/>
      <c r="F293" s="63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4"/>
      <c r="AG293" s="64"/>
      <c r="AH293" s="64"/>
      <c r="AI293" s="64"/>
      <c r="AJ293" s="64"/>
      <c r="AK293" s="64"/>
      <c r="AL293" s="64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</row>
    <row r="294" ht="16.5" customHeight="1">
      <c r="A294" s="62"/>
      <c r="B294" s="62"/>
      <c r="C294" s="62"/>
      <c r="D294" s="62"/>
      <c r="E294" s="62"/>
      <c r="F294" s="63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4"/>
      <c r="AG294" s="64"/>
      <c r="AH294" s="64"/>
      <c r="AI294" s="64"/>
      <c r="AJ294" s="64"/>
      <c r="AK294" s="64"/>
      <c r="AL294" s="64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</row>
    <row r="295" ht="16.5" customHeight="1">
      <c r="A295" s="62"/>
      <c r="B295" s="62"/>
      <c r="C295" s="62"/>
      <c r="D295" s="62"/>
      <c r="E295" s="62"/>
      <c r="F295" s="63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4"/>
      <c r="AG295" s="64"/>
      <c r="AH295" s="64"/>
      <c r="AI295" s="64"/>
      <c r="AJ295" s="64"/>
      <c r="AK295" s="64"/>
      <c r="AL295" s="64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</row>
    <row r="296" ht="16.5" customHeight="1">
      <c r="A296" s="62"/>
      <c r="B296" s="62"/>
      <c r="C296" s="62"/>
      <c r="D296" s="62"/>
      <c r="E296" s="62"/>
      <c r="F296" s="63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4"/>
      <c r="AG296" s="64"/>
      <c r="AH296" s="64"/>
      <c r="AI296" s="64"/>
      <c r="AJ296" s="64"/>
      <c r="AK296" s="64"/>
      <c r="AL296" s="64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</row>
    <row r="297" ht="16.5" customHeight="1">
      <c r="A297" s="62"/>
      <c r="B297" s="62"/>
      <c r="C297" s="62"/>
      <c r="D297" s="62"/>
      <c r="E297" s="62"/>
      <c r="F297" s="63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4"/>
      <c r="AG297" s="64"/>
      <c r="AH297" s="64"/>
      <c r="AI297" s="64"/>
      <c r="AJ297" s="64"/>
      <c r="AK297" s="64"/>
      <c r="AL297" s="64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</row>
    <row r="298" ht="16.5" customHeight="1">
      <c r="A298" s="62"/>
      <c r="B298" s="62"/>
      <c r="C298" s="62"/>
      <c r="D298" s="62"/>
      <c r="E298" s="62"/>
      <c r="F298" s="63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4"/>
      <c r="AG298" s="64"/>
      <c r="AH298" s="64"/>
      <c r="AI298" s="64"/>
      <c r="AJ298" s="64"/>
      <c r="AK298" s="64"/>
      <c r="AL298" s="64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</row>
    <row r="299" ht="16.5" customHeight="1">
      <c r="A299" s="62"/>
      <c r="B299" s="62"/>
      <c r="C299" s="62"/>
      <c r="D299" s="62"/>
      <c r="E299" s="62"/>
      <c r="F299" s="63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4"/>
      <c r="AG299" s="64"/>
      <c r="AH299" s="64"/>
      <c r="AI299" s="64"/>
      <c r="AJ299" s="64"/>
      <c r="AK299" s="64"/>
      <c r="AL299" s="64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</row>
    <row r="300" ht="16.5" customHeight="1">
      <c r="A300" s="62"/>
      <c r="B300" s="62"/>
      <c r="C300" s="62"/>
      <c r="D300" s="62"/>
      <c r="E300" s="62"/>
      <c r="F300" s="63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4"/>
      <c r="AG300" s="64"/>
      <c r="AH300" s="64"/>
      <c r="AI300" s="64"/>
      <c r="AJ300" s="64"/>
      <c r="AK300" s="64"/>
      <c r="AL300" s="64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</row>
    <row r="301" ht="16.5" customHeight="1">
      <c r="A301" s="62"/>
      <c r="B301" s="62"/>
      <c r="C301" s="62"/>
      <c r="D301" s="62"/>
      <c r="E301" s="62"/>
      <c r="F301" s="63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4"/>
      <c r="AG301" s="64"/>
      <c r="AH301" s="64"/>
      <c r="AI301" s="64"/>
      <c r="AJ301" s="64"/>
      <c r="AK301" s="64"/>
      <c r="AL301" s="64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</row>
    <row r="302" ht="16.5" customHeight="1">
      <c r="A302" s="62"/>
      <c r="B302" s="62"/>
      <c r="C302" s="62"/>
      <c r="D302" s="62"/>
      <c r="E302" s="62"/>
      <c r="F302" s="63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4"/>
      <c r="AG302" s="64"/>
      <c r="AH302" s="64"/>
      <c r="AI302" s="64"/>
      <c r="AJ302" s="64"/>
      <c r="AK302" s="64"/>
      <c r="AL302" s="64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</row>
    <row r="303" ht="16.5" customHeight="1">
      <c r="A303" s="62"/>
      <c r="B303" s="62"/>
      <c r="C303" s="62"/>
      <c r="D303" s="62"/>
      <c r="E303" s="62"/>
      <c r="F303" s="63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4"/>
      <c r="AG303" s="64"/>
      <c r="AH303" s="64"/>
      <c r="AI303" s="64"/>
      <c r="AJ303" s="64"/>
      <c r="AK303" s="64"/>
      <c r="AL303" s="64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</row>
    <row r="304" ht="16.5" customHeight="1">
      <c r="A304" s="62"/>
      <c r="B304" s="62"/>
      <c r="C304" s="62"/>
      <c r="D304" s="62"/>
      <c r="E304" s="62"/>
      <c r="F304" s="63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4"/>
      <c r="AG304" s="64"/>
      <c r="AH304" s="64"/>
      <c r="AI304" s="64"/>
      <c r="AJ304" s="64"/>
      <c r="AK304" s="64"/>
      <c r="AL304" s="64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</row>
    <row r="305" ht="16.5" customHeight="1">
      <c r="A305" s="62"/>
      <c r="B305" s="62"/>
      <c r="C305" s="62"/>
      <c r="D305" s="62"/>
      <c r="E305" s="62"/>
      <c r="F305" s="63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4"/>
      <c r="AG305" s="64"/>
      <c r="AH305" s="64"/>
      <c r="AI305" s="64"/>
      <c r="AJ305" s="64"/>
      <c r="AK305" s="64"/>
      <c r="AL305" s="64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</row>
    <row r="306" ht="16.5" customHeight="1">
      <c r="A306" s="62"/>
      <c r="B306" s="62"/>
      <c r="C306" s="62"/>
      <c r="D306" s="62"/>
      <c r="E306" s="62"/>
      <c r="F306" s="63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4"/>
      <c r="AG306" s="64"/>
      <c r="AH306" s="64"/>
      <c r="AI306" s="64"/>
      <c r="AJ306" s="64"/>
      <c r="AK306" s="64"/>
      <c r="AL306" s="64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</row>
    <row r="307" ht="16.5" customHeight="1">
      <c r="A307" s="62"/>
      <c r="B307" s="62"/>
      <c r="C307" s="62"/>
      <c r="D307" s="62"/>
      <c r="E307" s="62"/>
      <c r="F307" s="63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4"/>
      <c r="AG307" s="64"/>
      <c r="AH307" s="64"/>
      <c r="AI307" s="64"/>
      <c r="AJ307" s="64"/>
      <c r="AK307" s="64"/>
      <c r="AL307" s="64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</row>
    <row r="308" ht="16.5" customHeight="1">
      <c r="A308" s="62"/>
      <c r="B308" s="62"/>
      <c r="C308" s="62"/>
      <c r="D308" s="62"/>
      <c r="E308" s="62"/>
      <c r="F308" s="63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4"/>
      <c r="AG308" s="64"/>
      <c r="AH308" s="64"/>
      <c r="AI308" s="64"/>
      <c r="AJ308" s="64"/>
      <c r="AK308" s="64"/>
      <c r="AL308" s="64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</row>
    <row r="309" ht="16.5" customHeight="1">
      <c r="A309" s="62"/>
      <c r="B309" s="62"/>
      <c r="C309" s="62"/>
      <c r="D309" s="62"/>
      <c r="E309" s="62"/>
      <c r="F309" s="63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4"/>
      <c r="AG309" s="64"/>
      <c r="AH309" s="64"/>
      <c r="AI309" s="64"/>
      <c r="AJ309" s="64"/>
      <c r="AK309" s="64"/>
      <c r="AL309" s="64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</row>
    <row r="310" ht="16.5" customHeight="1">
      <c r="A310" s="62"/>
      <c r="B310" s="62"/>
      <c r="C310" s="62"/>
      <c r="D310" s="62"/>
      <c r="E310" s="62"/>
      <c r="F310" s="63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4"/>
      <c r="AG310" s="64"/>
      <c r="AH310" s="64"/>
      <c r="AI310" s="64"/>
      <c r="AJ310" s="64"/>
      <c r="AK310" s="64"/>
      <c r="AL310" s="64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</row>
    <row r="311" ht="16.5" customHeight="1">
      <c r="A311" s="62"/>
      <c r="B311" s="62"/>
      <c r="C311" s="62"/>
      <c r="D311" s="62"/>
      <c r="E311" s="62"/>
      <c r="F311" s="63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4"/>
      <c r="AG311" s="64"/>
      <c r="AH311" s="64"/>
      <c r="AI311" s="64"/>
      <c r="AJ311" s="64"/>
      <c r="AK311" s="64"/>
      <c r="AL311" s="64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</row>
    <row r="312" ht="16.5" customHeight="1">
      <c r="A312" s="62"/>
      <c r="B312" s="62"/>
      <c r="C312" s="62"/>
      <c r="D312" s="62"/>
      <c r="E312" s="62"/>
      <c r="F312" s="63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4"/>
      <c r="AG312" s="64"/>
      <c r="AH312" s="64"/>
      <c r="AI312" s="64"/>
      <c r="AJ312" s="64"/>
      <c r="AK312" s="64"/>
      <c r="AL312" s="64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</row>
    <row r="313" ht="16.5" customHeight="1">
      <c r="A313" s="62"/>
      <c r="B313" s="62"/>
      <c r="C313" s="62"/>
      <c r="D313" s="62"/>
      <c r="E313" s="62"/>
      <c r="F313" s="63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4"/>
      <c r="AG313" s="64"/>
      <c r="AH313" s="64"/>
      <c r="AI313" s="64"/>
      <c r="AJ313" s="64"/>
      <c r="AK313" s="64"/>
      <c r="AL313" s="64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</row>
    <row r="314" ht="16.5" customHeight="1">
      <c r="A314" s="62"/>
      <c r="B314" s="62"/>
      <c r="C314" s="62"/>
      <c r="D314" s="62"/>
      <c r="E314" s="62"/>
      <c r="F314" s="63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4"/>
      <c r="AG314" s="64"/>
      <c r="AH314" s="64"/>
      <c r="AI314" s="64"/>
      <c r="AJ314" s="64"/>
      <c r="AK314" s="64"/>
      <c r="AL314" s="64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</row>
    <row r="315" ht="16.5" customHeight="1">
      <c r="A315" s="62"/>
      <c r="B315" s="62"/>
      <c r="C315" s="62"/>
      <c r="D315" s="62"/>
      <c r="E315" s="62"/>
      <c r="F315" s="63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4"/>
      <c r="AG315" s="64"/>
      <c r="AH315" s="64"/>
      <c r="AI315" s="64"/>
      <c r="AJ315" s="64"/>
      <c r="AK315" s="64"/>
      <c r="AL315" s="64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</row>
    <row r="316" ht="16.5" customHeight="1">
      <c r="A316" s="62"/>
      <c r="B316" s="62"/>
      <c r="C316" s="62"/>
      <c r="D316" s="62"/>
      <c r="E316" s="62"/>
      <c r="F316" s="63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4"/>
      <c r="AG316" s="64"/>
      <c r="AH316" s="64"/>
      <c r="AI316" s="64"/>
      <c r="AJ316" s="64"/>
      <c r="AK316" s="64"/>
      <c r="AL316" s="64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</row>
    <row r="317" ht="16.5" customHeight="1">
      <c r="A317" s="62"/>
      <c r="B317" s="62"/>
      <c r="C317" s="62"/>
      <c r="D317" s="62"/>
      <c r="E317" s="62"/>
      <c r="F317" s="63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4"/>
      <c r="AG317" s="64"/>
      <c r="AH317" s="64"/>
      <c r="AI317" s="64"/>
      <c r="AJ317" s="64"/>
      <c r="AK317" s="64"/>
      <c r="AL317" s="64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</row>
    <row r="318" ht="16.5" customHeight="1">
      <c r="A318" s="62"/>
      <c r="B318" s="62"/>
      <c r="C318" s="62"/>
      <c r="D318" s="62"/>
      <c r="E318" s="62"/>
      <c r="F318" s="63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4"/>
      <c r="AG318" s="64"/>
      <c r="AH318" s="64"/>
      <c r="AI318" s="64"/>
      <c r="AJ318" s="64"/>
      <c r="AK318" s="64"/>
      <c r="AL318" s="64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</row>
    <row r="319" ht="16.5" customHeight="1">
      <c r="A319" s="62"/>
      <c r="B319" s="62"/>
      <c r="C319" s="62"/>
      <c r="D319" s="62"/>
      <c r="E319" s="62"/>
      <c r="F319" s="63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4"/>
      <c r="AG319" s="64"/>
      <c r="AH319" s="64"/>
      <c r="AI319" s="64"/>
      <c r="AJ319" s="64"/>
      <c r="AK319" s="64"/>
      <c r="AL319" s="64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</row>
    <row r="320" ht="16.5" customHeight="1">
      <c r="A320" s="62"/>
      <c r="B320" s="62"/>
      <c r="C320" s="62"/>
      <c r="D320" s="62"/>
      <c r="E320" s="62"/>
      <c r="F320" s="63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4"/>
      <c r="AG320" s="64"/>
      <c r="AH320" s="64"/>
      <c r="AI320" s="64"/>
      <c r="AJ320" s="64"/>
      <c r="AK320" s="64"/>
      <c r="AL320" s="64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</row>
    <row r="321" ht="16.5" customHeight="1">
      <c r="A321" s="62"/>
      <c r="B321" s="62"/>
      <c r="C321" s="62"/>
      <c r="D321" s="62"/>
      <c r="E321" s="62"/>
      <c r="F321" s="63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4"/>
      <c r="AG321" s="64"/>
      <c r="AH321" s="64"/>
      <c r="AI321" s="64"/>
      <c r="AJ321" s="64"/>
      <c r="AK321" s="64"/>
      <c r="AL321" s="64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</row>
    <row r="322" ht="16.5" customHeight="1">
      <c r="A322" s="62"/>
      <c r="B322" s="62"/>
      <c r="C322" s="62"/>
      <c r="D322" s="62"/>
      <c r="E322" s="62"/>
      <c r="F322" s="63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4"/>
      <c r="AG322" s="64"/>
      <c r="AH322" s="64"/>
      <c r="AI322" s="64"/>
      <c r="AJ322" s="64"/>
      <c r="AK322" s="64"/>
      <c r="AL322" s="64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</row>
    <row r="323" ht="16.5" customHeight="1">
      <c r="A323" s="62"/>
      <c r="B323" s="62"/>
      <c r="C323" s="62"/>
      <c r="D323" s="62"/>
      <c r="E323" s="62"/>
      <c r="F323" s="63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4"/>
      <c r="AG323" s="64"/>
      <c r="AH323" s="64"/>
      <c r="AI323" s="64"/>
      <c r="AJ323" s="64"/>
      <c r="AK323" s="64"/>
      <c r="AL323" s="64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</row>
    <row r="324" ht="16.5" customHeight="1">
      <c r="A324" s="62"/>
      <c r="B324" s="62"/>
      <c r="C324" s="62"/>
      <c r="D324" s="62"/>
      <c r="E324" s="62"/>
      <c r="F324" s="63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4"/>
      <c r="AG324" s="64"/>
      <c r="AH324" s="64"/>
      <c r="AI324" s="64"/>
      <c r="AJ324" s="64"/>
      <c r="AK324" s="64"/>
      <c r="AL324" s="64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</row>
    <row r="325" ht="16.5" customHeight="1">
      <c r="A325" s="62"/>
      <c r="B325" s="62"/>
      <c r="C325" s="62"/>
      <c r="D325" s="62"/>
      <c r="E325" s="62"/>
      <c r="F325" s="63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4"/>
      <c r="AG325" s="64"/>
      <c r="AH325" s="64"/>
      <c r="AI325" s="64"/>
      <c r="AJ325" s="64"/>
      <c r="AK325" s="64"/>
      <c r="AL325" s="64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</row>
    <row r="326" ht="16.5" customHeight="1">
      <c r="A326" s="62"/>
      <c r="B326" s="62"/>
      <c r="C326" s="62"/>
      <c r="D326" s="62"/>
      <c r="E326" s="62"/>
      <c r="F326" s="63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4"/>
      <c r="AG326" s="64"/>
      <c r="AH326" s="64"/>
      <c r="AI326" s="64"/>
      <c r="AJ326" s="64"/>
      <c r="AK326" s="64"/>
      <c r="AL326" s="64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</row>
    <row r="327" ht="16.5" customHeight="1">
      <c r="A327" s="62"/>
      <c r="B327" s="62"/>
      <c r="C327" s="62"/>
      <c r="D327" s="62"/>
      <c r="E327" s="62"/>
      <c r="F327" s="63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4"/>
      <c r="AG327" s="64"/>
      <c r="AH327" s="64"/>
      <c r="AI327" s="64"/>
      <c r="AJ327" s="64"/>
      <c r="AK327" s="64"/>
      <c r="AL327" s="64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</row>
    <row r="328" ht="16.5" customHeight="1">
      <c r="A328" s="62"/>
      <c r="B328" s="62"/>
      <c r="C328" s="62"/>
      <c r="D328" s="62"/>
      <c r="E328" s="62"/>
      <c r="F328" s="63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4"/>
      <c r="AG328" s="64"/>
      <c r="AH328" s="64"/>
      <c r="AI328" s="64"/>
      <c r="AJ328" s="64"/>
      <c r="AK328" s="64"/>
      <c r="AL328" s="64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</row>
    <row r="329" ht="16.5" customHeight="1">
      <c r="A329" s="62"/>
      <c r="B329" s="62"/>
      <c r="C329" s="62"/>
      <c r="D329" s="62"/>
      <c r="E329" s="62"/>
      <c r="F329" s="63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4"/>
      <c r="AG329" s="64"/>
      <c r="AH329" s="64"/>
      <c r="AI329" s="64"/>
      <c r="AJ329" s="64"/>
      <c r="AK329" s="64"/>
      <c r="AL329" s="64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</row>
    <row r="330" ht="16.5" customHeight="1">
      <c r="A330" s="62"/>
      <c r="B330" s="62"/>
      <c r="C330" s="62"/>
      <c r="D330" s="62"/>
      <c r="E330" s="62"/>
      <c r="F330" s="63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4"/>
      <c r="AG330" s="64"/>
      <c r="AH330" s="64"/>
      <c r="AI330" s="64"/>
      <c r="AJ330" s="64"/>
      <c r="AK330" s="64"/>
      <c r="AL330" s="64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</row>
    <row r="331" ht="16.5" customHeight="1">
      <c r="A331" s="62"/>
      <c r="B331" s="62"/>
      <c r="C331" s="62"/>
      <c r="D331" s="62"/>
      <c r="E331" s="62"/>
      <c r="F331" s="63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4"/>
      <c r="AG331" s="64"/>
      <c r="AH331" s="64"/>
      <c r="AI331" s="64"/>
      <c r="AJ331" s="64"/>
      <c r="AK331" s="64"/>
      <c r="AL331" s="64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</row>
    <row r="332" ht="16.5" customHeight="1">
      <c r="A332" s="62"/>
      <c r="B332" s="62"/>
      <c r="C332" s="62"/>
      <c r="D332" s="62"/>
      <c r="E332" s="62"/>
      <c r="F332" s="63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4"/>
      <c r="AG332" s="64"/>
      <c r="AH332" s="64"/>
      <c r="AI332" s="64"/>
      <c r="AJ332" s="64"/>
      <c r="AK332" s="64"/>
      <c r="AL332" s="64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</row>
    <row r="333" ht="16.5" customHeight="1">
      <c r="A333" s="62"/>
      <c r="B333" s="62"/>
      <c r="C333" s="62"/>
      <c r="D333" s="62"/>
      <c r="E333" s="62"/>
      <c r="F333" s="63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4"/>
      <c r="AG333" s="64"/>
      <c r="AH333" s="64"/>
      <c r="AI333" s="64"/>
      <c r="AJ333" s="64"/>
      <c r="AK333" s="64"/>
      <c r="AL333" s="64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</row>
    <row r="334" ht="16.5" customHeight="1">
      <c r="A334" s="62"/>
      <c r="B334" s="62"/>
      <c r="C334" s="62"/>
      <c r="D334" s="62"/>
      <c r="E334" s="62"/>
      <c r="F334" s="63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4"/>
      <c r="AG334" s="64"/>
      <c r="AH334" s="64"/>
      <c r="AI334" s="64"/>
      <c r="AJ334" s="64"/>
      <c r="AK334" s="64"/>
      <c r="AL334" s="64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</row>
    <row r="335" ht="16.5" customHeight="1">
      <c r="A335" s="62"/>
      <c r="B335" s="62"/>
      <c r="C335" s="62"/>
      <c r="D335" s="62"/>
      <c r="E335" s="62"/>
      <c r="F335" s="63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4"/>
      <c r="AG335" s="64"/>
      <c r="AH335" s="64"/>
      <c r="AI335" s="64"/>
      <c r="AJ335" s="64"/>
      <c r="AK335" s="64"/>
      <c r="AL335" s="64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</row>
    <row r="336" ht="16.5" customHeight="1">
      <c r="A336" s="62"/>
      <c r="B336" s="62"/>
      <c r="C336" s="62"/>
      <c r="D336" s="62"/>
      <c r="E336" s="62"/>
      <c r="F336" s="63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4"/>
      <c r="AG336" s="64"/>
      <c r="AH336" s="64"/>
      <c r="AI336" s="64"/>
      <c r="AJ336" s="64"/>
      <c r="AK336" s="64"/>
      <c r="AL336" s="64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</row>
    <row r="337" ht="16.5" customHeight="1">
      <c r="A337" s="62"/>
      <c r="B337" s="62"/>
      <c r="C337" s="62"/>
      <c r="D337" s="62"/>
      <c r="E337" s="62"/>
      <c r="F337" s="63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4"/>
      <c r="AG337" s="64"/>
      <c r="AH337" s="64"/>
      <c r="AI337" s="64"/>
      <c r="AJ337" s="64"/>
      <c r="AK337" s="64"/>
      <c r="AL337" s="64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</row>
    <row r="338" ht="16.5" customHeight="1">
      <c r="A338" s="62"/>
      <c r="B338" s="62"/>
      <c r="C338" s="62"/>
      <c r="D338" s="62"/>
      <c r="E338" s="62"/>
      <c r="F338" s="63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4"/>
      <c r="AG338" s="64"/>
      <c r="AH338" s="64"/>
      <c r="AI338" s="64"/>
      <c r="AJ338" s="64"/>
      <c r="AK338" s="64"/>
      <c r="AL338" s="64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</row>
    <row r="339" ht="16.5" customHeight="1">
      <c r="A339" s="62"/>
      <c r="B339" s="62"/>
      <c r="C339" s="62"/>
      <c r="D339" s="62"/>
      <c r="E339" s="62"/>
      <c r="F339" s="63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4"/>
      <c r="AG339" s="64"/>
      <c r="AH339" s="64"/>
      <c r="AI339" s="64"/>
      <c r="AJ339" s="64"/>
      <c r="AK339" s="64"/>
      <c r="AL339" s="64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</row>
    <row r="340" ht="16.5" customHeight="1">
      <c r="A340" s="62"/>
      <c r="B340" s="62"/>
      <c r="C340" s="62"/>
      <c r="D340" s="62"/>
      <c r="E340" s="62"/>
      <c r="F340" s="63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4"/>
      <c r="AG340" s="64"/>
      <c r="AH340" s="64"/>
      <c r="AI340" s="64"/>
      <c r="AJ340" s="64"/>
      <c r="AK340" s="64"/>
      <c r="AL340" s="64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</row>
    <row r="341" ht="16.5" customHeight="1">
      <c r="A341" s="62"/>
      <c r="B341" s="62"/>
      <c r="C341" s="62"/>
      <c r="D341" s="62"/>
      <c r="E341" s="62"/>
      <c r="F341" s="63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4"/>
      <c r="AG341" s="64"/>
      <c r="AH341" s="64"/>
      <c r="AI341" s="64"/>
      <c r="AJ341" s="64"/>
      <c r="AK341" s="64"/>
      <c r="AL341" s="64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</row>
    <row r="342" ht="16.5" customHeight="1">
      <c r="A342" s="62"/>
      <c r="B342" s="62"/>
      <c r="C342" s="62"/>
      <c r="D342" s="62"/>
      <c r="E342" s="62"/>
      <c r="F342" s="63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4"/>
      <c r="AG342" s="64"/>
      <c r="AH342" s="64"/>
      <c r="AI342" s="64"/>
      <c r="AJ342" s="64"/>
      <c r="AK342" s="64"/>
      <c r="AL342" s="64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</row>
    <row r="343" ht="16.5" customHeight="1">
      <c r="A343" s="62"/>
      <c r="B343" s="62"/>
      <c r="C343" s="62"/>
      <c r="D343" s="62"/>
      <c r="E343" s="62"/>
      <c r="F343" s="63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4"/>
      <c r="AG343" s="64"/>
      <c r="AH343" s="64"/>
      <c r="AI343" s="64"/>
      <c r="AJ343" s="64"/>
      <c r="AK343" s="64"/>
      <c r="AL343" s="64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</row>
    <row r="344" ht="16.5" customHeight="1">
      <c r="A344" s="62"/>
      <c r="B344" s="62"/>
      <c r="C344" s="62"/>
      <c r="D344" s="62"/>
      <c r="E344" s="62"/>
      <c r="F344" s="63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4"/>
      <c r="AG344" s="64"/>
      <c r="AH344" s="64"/>
      <c r="AI344" s="64"/>
      <c r="AJ344" s="64"/>
      <c r="AK344" s="64"/>
      <c r="AL344" s="64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</row>
    <row r="345" ht="16.5" customHeight="1">
      <c r="A345" s="62"/>
      <c r="B345" s="62"/>
      <c r="C345" s="62"/>
      <c r="D345" s="62"/>
      <c r="E345" s="62"/>
      <c r="F345" s="63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4"/>
      <c r="AG345" s="64"/>
      <c r="AH345" s="64"/>
      <c r="AI345" s="64"/>
      <c r="AJ345" s="64"/>
      <c r="AK345" s="64"/>
      <c r="AL345" s="64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</row>
    <row r="346" ht="16.5" customHeight="1">
      <c r="A346" s="62"/>
      <c r="B346" s="62"/>
      <c r="C346" s="62"/>
      <c r="D346" s="62"/>
      <c r="E346" s="62"/>
      <c r="F346" s="63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4"/>
      <c r="AG346" s="64"/>
      <c r="AH346" s="64"/>
      <c r="AI346" s="64"/>
      <c r="AJ346" s="64"/>
      <c r="AK346" s="64"/>
      <c r="AL346" s="64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</row>
    <row r="347" ht="16.5" customHeight="1">
      <c r="A347" s="62"/>
      <c r="B347" s="62"/>
      <c r="C347" s="62"/>
      <c r="D347" s="62"/>
      <c r="E347" s="62"/>
      <c r="F347" s="63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4"/>
      <c r="AG347" s="64"/>
      <c r="AH347" s="64"/>
      <c r="AI347" s="64"/>
      <c r="AJ347" s="64"/>
      <c r="AK347" s="64"/>
      <c r="AL347" s="64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</row>
    <row r="348" ht="16.5" customHeight="1">
      <c r="A348" s="62"/>
      <c r="B348" s="62"/>
      <c r="C348" s="62"/>
      <c r="D348" s="62"/>
      <c r="E348" s="62"/>
      <c r="F348" s="63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4"/>
      <c r="AG348" s="64"/>
      <c r="AH348" s="64"/>
      <c r="AI348" s="64"/>
      <c r="AJ348" s="64"/>
      <c r="AK348" s="64"/>
      <c r="AL348" s="64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</row>
    <row r="349" ht="16.5" customHeight="1">
      <c r="A349" s="62"/>
      <c r="B349" s="62"/>
      <c r="C349" s="62"/>
      <c r="D349" s="62"/>
      <c r="E349" s="62"/>
      <c r="F349" s="63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4"/>
      <c r="AG349" s="64"/>
      <c r="AH349" s="64"/>
      <c r="AI349" s="64"/>
      <c r="AJ349" s="64"/>
      <c r="AK349" s="64"/>
      <c r="AL349" s="64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</row>
    <row r="350" ht="16.5" customHeight="1">
      <c r="A350" s="62"/>
      <c r="B350" s="62"/>
      <c r="C350" s="62"/>
      <c r="D350" s="62"/>
      <c r="E350" s="62"/>
      <c r="F350" s="63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4"/>
      <c r="AG350" s="64"/>
      <c r="AH350" s="64"/>
      <c r="AI350" s="64"/>
      <c r="AJ350" s="64"/>
      <c r="AK350" s="64"/>
      <c r="AL350" s="64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</row>
    <row r="351" ht="16.5" customHeight="1">
      <c r="A351" s="62"/>
      <c r="B351" s="62"/>
      <c r="C351" s="62"/>
      <c r="D351" s="62"/>
      <c r="E351" s="62"/>
      <c r="F351" s="63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4"/>
      <c r="AG351" s="64"/>
      <c r="AH351" s="64"/>
      <c r="AI351" s="64"/>
      <c r="AJ351" s="64"/>
      <c r="AK351" s="64"/>
      <c r="AL351" s="64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</row>
    <row r="352" ht="16.5" customHeight="1">
      <c r="A352" s="62"/>
      <c r="B352" s="62"/>
      <c r="C352" s="62"/>
      <c r="D352" s="62"/>
      <c r="E352" s="62"/>
      <c r="F352" s="63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4"/>
      <c r="AG352" s="64"/>
      <c r="AH352" s="64"/>
      <c r="AI352" s="64"/>
      <c r="AJ352" s="64"/>
      <c r="AK352" s="64"/>
      <c r="AL352" s="64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</row>
    <row r="353" ht="16.5" customHeight="1">
      <c r="A353" s="62"/>
      <c r="B353" s="62"/>
      <c r="C353" s="62"/>
      <c r="D353" s="62"/>
      <c r="E353" s="62"/>
      <c r="F353" s="63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4"/>
      <c r="AG353" s="64"/>
      <c r="AH353" s="64"/>
      <c r="AI353" s="64"/>
      <c r="AJ353" s="64"/>
      <c r="AK353" s="64"/>
      <c r="AL353" s="64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</row>
    <row r="354" ht="16.5" customHeight="1">
      <c r="A354" s="62"/>
      <c r="B354" s="62"/>
      <c r="C354" s="62"/>
      <c r="D354" s="62"/>
      <c r="E354" s="62"/>
      <c r="F354" s="63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4"/>
      <c r="AG354" s="64"/>
      <c r="AH354" s="64"/>
      <c r="AI354" s="64"/>
      <c r="AJ354" s="64"/>
      <c r="AK354" s="64"/>
      <c r="AL354" s="64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</row>
    <row r="355" ht="16.5" customHeight="1">
      <c r="A355" s="62"/>
      <c r="B355" s="62"/>
      <c r="C355" s="62"/>
      <c r="D355" s="62"/>
      <c r="E355" s="62"/>
      <c r="F355" s="63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4"/>
      <c r="AG355" s="64"/>
      <c r="AH355" s="64"/>
      <c r="AI355" s="64"/>
      <c r="AJ355" s="64"/>
      <c r="AK355" s="64"/>
      <c r="AL355" s="64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</row>
    <row r="356" ht="16.5" customHeight="1">
      <c r="A356" s="62"/>
      <c r="B356" s="62"/>
      <c r="C356" s="62"/>
      <c r="D356" s="62"/>
      <c r="E356" s="62"/>
      <c r="F356" s="63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4"/>
      <c r="AG356" s="64"/>
      <c r="AH356" s="64"/>
      <c r="AI356" s="64"/>
      <c r="AJ356" s="64"/>
      <c r="AK356" s="64"/>
      <c r="AL356" s="64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</row>
    <row r="357" ht="16.5" customHeight="1">
      <c r="A357" s="62"/>
      <c r="B357" s="62"/>
      <c r="C357" s="62"/>
      <c r="D357" s="62"/>
      <c r="E357" s="62"/>
      <c r="F357" s="63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4"/>
      <c r="AG357" s="64"/>
      <c r="AH357" s="64"/>
      <c r="AI357" s="64"/>
      <c r="AJ357" s="64"/>
      <c r="AK357" s="64"/>
      <c r="AL357" s="64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</row>
    <row r="358" ht="16.5" customHeight="1">
      <c r="A358" s="62"/>
      <c r="B358" s="62"/>
      <c r="C358" s="62"/>
      <c r="D358" s="62"/>
      <c r="E358" s="62"/>
      <c r="F358" s="63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4"/>
      <c r="AG358" s="64"/>
      <c r="AH358" s="64"/>
      <c r="AI358" s="64"/>
      <c r="AJ358" s="64"/>
      <c r="AK358" s="64"/>
      <c r="AL358" s="64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</row>
    <row r="359" ht="16.5" customHeight="1">
      <c r="A359" s="62"/>
      <c r="B359" s="62"/>
      <c r="C359" s="62"/>
      <c r="D359" s="62"/>
      <c r="E359" s="62"/>
      <c r="F359" s="63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4"/>
      <c r="AG359" s="64"/>
      <c r="AH359" s="64"/>
      <c r="AI359" s="64"/>
      <c r="AJ359" s="64"/>
      <c r="AK359" s="64"/>
      <c r="AL359" s="64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</row>
    <row r="360" ht="16.5" customHeight="1">
      <c r="A360" s="62"/>
      <c r="B360" s="62"/>
      <c r="C360" s="62"/>
      <c r="D360" s="62"/>
      <c r="E360" s="62"/>
      <c r="F360" s="63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4"/>
      <c r="AG360" s="64"/>
      <c r="AH360" s="64"/>
      <c r="AI360" s="64"/>
      <c r="AJ360" s="64"/>
      <c r="AK360" s="64"/>
      <c r="AL360" s="64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</row>
    <row r="361" ht="16.5" customHeight="1">
      <c r="A361" s="62"/>
      <c r="B361" s="62"/>
      <c r="C361" s="62"/>
      <c r="D361" s="62"/>
      <c r="E361" s="62"/>
      <c r="F361" s="63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4"/>
      <c r="AG361" s="64"/>
      <c r="AH361" s="64"/>
      <c r="AI361" s="64"/>
      <c r="AJ361" s="64"/>
      <c r="AK361" s="64"/>
      <c r="AL361" s="64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</row>
    <row r="362" ht="16.5" customHeight="1">
      <c r="A362" s="62"/>
      <c r="B362" s="62"/>
      <c r="C362" s="62"/>
      <c r="D362" s="62"/>
      <c r="E362" s="62"/>
      <c r="F362" s="63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4"/>
      <c r="AG362" s="64"/>
      <c r="AH362" s="64"/>
      <c r="AI362" s="64"/>
      <c r="AJ362" s="64"/>
      <c r="AK362" s="64"/>
      <c r="AL362" s="64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</row>
    <row r="363" ht="16.5" customHeight="1">
      <c r="A363" s="62"/>
      <c r="B363" s="62"/>
      <c r="C363" s="62"/>
      <c r="D363" s="62"/>
      <c r="E363" s="62"/>
      <c r="F363" s="63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4"/>
      <c r="AG363" s="64"/>
      <c r="AH363" s="64"/>
      <c r="AI363" s="64"/>
      <c r="AJ363" s="64"/>
      <c r="AK363" s="64"/>
      <c r="AL363" s="64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</row>
    <row r="364" ht="16.5" customHeight="1">
      <c r="A364" s="62"/>
      <c r="B364" s="62"/>
      <c r="C364" s="62"/>
      <c r="D364" s="62"/>
      <c r="E364" s="62"/>
      <c r="F364" s="63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4"/>
      <c r="AG364" s="64"/>
      <c r="AH364" s="64"/>
      <c r="AI364" s="64"/>
      <c r="AJ364" s="64"/>
      <c r="AK364" s="64"/>
      <c r="AL364" s="64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</row>
    <row r="365" ht="16.5" customHeight="1">
      <c r="A365" s="62"/>
      <c r="B365" s="62"/>
      <c r="C365" s="62"/>
      <c r="D365" s="62"/>
      <c r="E365" s="62"/>
      <c r="F365" s="63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4"/>
      <c r="AG365" s="64"/>
      <c r="AH365" s="64"/>
      <c r="AI365" s="64"/>
      <c r="AJ365" s="64"/>
      <c r="AK365" s="64"/>
      <c r="AL365" s="64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</row>
    <row r="366" ht="16.5" customHeight="1">
      <c r="A366" s="62"/>
      <c r="B366" s="62"/>
      <c r="C366" s="62"/>
      <c r="D366" s="62"/>
      <c r="E366" s="62"/>
      <c r="F366" s="63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4"/>
      <c r="AG366" s="64"/>
      <c r="AH366" s="64"/>
      <c r="AI366" s="64"/>
      <c r="AJ366" s="64"/>
      <c r="AK366" s="64"/>
      <c r="AL366" s="64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</row>
    <row r="367" ht="16.5" customHeight="1">
      <c r="A367" s="62"/>
      <c r="B367" s="62"/>
      <c r="C367" s="62"/>
      <c r="D367" s="62"/>
      <c r="E367" s="62"/>
      <c r="F367" s="63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4"/>
      <c r="AG367" s="64"/>
      <c r="AH367" s="64"/>
      <c r="AI367" s="64"/>
      <c r="AJ367" s="64"/>
      <c r="AK367" s="64"/>
      <c r="AL367" s="64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</row>
    <row r="368" ht="16.5" customHeight="1">
      <c r="A368" s="62"/>
      <c r="B368" s="62"/>
      <c r="C368" s="62"/>
      <c r="D368" s="62"/>
      <c r="E368" s="62"/>
      <c r="F368" s="63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4"/>
      <c r="AG368" s="64"/>
      <c r="AH368" s="64"/>
      <c r="AI368" s="64"/>
      <c r="AJ368" s="64"/>
      <c r="AK368" s="64"/>
      <c r="AL368" s="64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</row>
    <row r="369" ht="16.5" customHeight="1">
      <c r="A369" s="62"/>
      <c r="B369" s="62"/>
      <c r="C369" s="62"/>
      <c r="D369" s="62"/>
      <c r="E369" s="62"/>
      <c r="F369" s="63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4"/>
      <c r="AG369" s="64"/>
      <c r="AH369" s="64"/>
      <c r="AI369" s="64"/>
      <c r="AJ369" s="64"/>
      <c r="AK369" s="64"/>
      <c r="AL369" s="64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</row>
    <row r="370" ht="16.5" customHeight="1">
      <c r="A370" s="62"/>
      <c r="B370" s="62"/>
      <c r="C370" s="62"/>
      <c r="D370" s="62"/>
      <c r="E370" s="62"/>
      <c r="F370" s="63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4"/>
      <c r="AG370" s="64"/>
      <c r="AH370" s="64"/>
      <c r="AI370" s="64"/>
      <c r="AJ370" s="64"/>
      <c r="AK370" s="64"/>
      <c r="AL370" s="64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</row>
    <row r="371" ht="16.5" customHeight="1">
      <c r="A371" s="62"/>
      <c r="B371" s="62"/>
      <c r="C371" s="62"/>
      <c r="D371" s="62"/>
      <c r="E371" s="62"/>
      <c r="F371" s="63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4"/>
      <c r="AG371" s="64"/>
      <c r="AH371" s="64"/>
      <c r="AI371" s="64"/>
      <c r="AJ371" s="64"/>
      <c r="AK371" s="64"/>
      <c r="AL371" s="64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</row>
    <row r="372" ht="16.5" customHeight="1">
      <c r="A372" s="62"/>
      <c r="B372" s="62"/>
      <c r="C372" s="62"/>
      <c r="D372" s="62"/>
      <c r="E372" s="62"/>
      <c r="F372" s="63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4"/>
      <c r="AG372" s="64"/>
      <c r="AH372" s="64"/>
      <c r="AI372" s="64"/>
      <c r="AJ372" s="64"/>
      <c r="AK372" s="64"/>
      <c r="AL372" s="64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</row>
    <row r="373" ht="16.5" customHeight="1">
      <c r="A373" s="62"/>
      <c r="B373" s="62"/>
      <c r="C373" s="62"/>
      <c r="D373" s="62"/>
      <c r="E373" s="62"/>
      <c r="F373" s="63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4"/>
      <c r="AG373" s="64"/>
      <c r="AH373" s="64"/>
      <c r="AI373" s="64"/>
      <c r="AJ373" s="64"/>
      <c r="AK373" s="64"/>
      <c r="AL373" s="64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</row>
    <row r="374" ht="16.5" customHeight="1">
      <c r="A374" s="62"/>
      <c r="B374" s="62"/>
      <c r="C374" s="62"/>
      <c r="D374" s="62"/>
      <c r="E374" s="62"/>
      <c r="F374" s="63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4"/>
      <c r="AG374" s="64"/>
      <c r="AH374" s="64"/>
      <c r="AI374" s="64"/>
      <c r="AJ374" s="64"/>
      <c r="AK374" s="64"/>
      <c r="AL374" s="64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</row>
    <row r="375" ht="16.5" customHeight="1">
      <c r="A375" s="62"/>
      <c r="B375" s="62"/>
      <c r="C375" s="62"/>
      <c r="D375" s="62"/>
      <c r="E375" s="62"/>
      <c r="F375" s="63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4"/>
      <c r="AG375" s="64"/>
      <c r="AH375" s="64"/>
      <c r="AI375" s="64"/>
      <c r="AJ375" s="64"/>
      <c r="AK375" s="64"/>
      <c r="AL375" s="64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</row>
    <row r="376" ht="16.5" customHeight="1">
      <c r="A376" s="62"/>
      <c r="B376" s="62"/>
      <c r="C376" s="62"/>
      <c r="D376" s="62"/>
      <c r="E376" s="62"/>
      <c r="F376" s="63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4"/>
      <c r="AG376" s="64"/>
      <c r="AH376" s="64"/>
      <c r="AI376" s="64"/>
      <c r="AJ376" s="64"/>
      <c r="AK376" s="64"/>
      <c r="AL376" s="64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</row>
    <row r="377" ht="16.5" customHeight="1">
      <c r="A377" s="62"/>
      <c r="B377" s="62"/>
      <c r="C377" s="62"/>
      <c r="D377" s="62"/>
      <c r="E377" s="62"/>
      <c r="F377" s="63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4"/>
      <c r="AG377" s="64"/>
      <c r="AH377" s="64"/>
      <c r="AI377" s="64"/>
      <c r="AJ377" s="64"/>
      <c r="AK377" s="64"/>
      <c r="AL377" s="64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</row>
    <row r="378" ht="16.5" customHeight="1">
      <c r="A378" s="62"/>
      <c r="B378" s="62"/>
      <c r="C378" s="62"/>
      <c r="D378" s="62"/>
      <c r="E378" s="62"/>
      <c r="F378" s="63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4"/>
      <c r="AG378" s="64"/>
      <c r="AH378" s="64"/>
      <c r="AI378" s="64"/>
      <c r="AJ378" s="64"/>
      <c r="AK378" s="64"/>
      <c r="AL378" s="64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</row>
    <row r="379" ht="16.5" customHeight="1">
      <c r="A379" s="62"/>
      <c r="B379" s="62"/>
      <c r="C379" s="62"/>
      <c r="D379" s="62"/>
      <c r="E379" s="62"/>
      <c r="F379" s="63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4"/>
      <c r="AG379" s="64"/>
      <c r="AH379" s="64"/>
      <c r="AI379" s="64"/>
      <c r="AJ379" s="64"/>
      <c r="AK379" s="64"/>
      <c r="AL379" s="64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</row>
    <row r="380" ht="16.5" customHeight="1">
      <c r="A380" s="62"/>
      <c r="B380" s="62"/>
      <c r="C380" s="62"/>
      <c r="D380" s="62"/>
      <c r="E380" s="62"/>
      <c r="F380" s="63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4"/>
      <c r="AG380" s="64"/>
      <c r="AH380" s="64"/>
      <c r="AI380" s="64"/>
      <c r="AJ380" s="64"/>
      <c r="AK380" s="64"/>
      <c r="AL380" s="64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</row>
    <row r="381" ht="16.5" customHeight="1">
      <c r="A381" s="62"/>
      <c r="B381" s="62"/>
      <c r="C381" s="62"/>
      <c r="D381" s="62"/>
      <c r="E381" s="62"/>
      <c r="F381" s="63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4"/>
      <c r="AG381" s="64"/>
      <c r="AH381" s="64"/>
      <c r="AI381" s="64"/>
      <c r="AJ381" s="64"/>
      <c r="AK381" s="64"/>
      <c r="AL381" s="64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</row>
    <row r="382" ht="16.5" customHeight="1">
      <c r="A382" s="62"/>
      <c r="B382" s="62"/>
      <c r="C382" s="62"/>
      <c r="D382" s="62"/>
      <c r="E382" s="62"/>
      <c r="F382" s="63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4"/>
      <c r="AG382" s="64"/>
      <c r="AH382" s="64"/>
      <c r="AI382" s="64"/>
      <c r="AJ382" s="64"/>
      <c r="AK382" s="64"/>
      <c r="AL382" s="64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</row>
    <row r="383" ht="16.5" customHeight="1">
      <c r="A383" s="62"/>
      <c r="B383" s="62"/>
      <c r="C383" s="62"/>
      <c r="D383" s="62"/>
      <c r="E383" s="62"/>
      <c r="F383" s="63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4"/>
      <c r="AG383" s="64"/>
      <c r="AH383" s="64"/>
      <c r="AI383" s="64"/>
      <c r="AJ383" s="64"/>
      <c r="AK383" s="64"/>
      <c r="AL383" s="64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</row>
    <row r="384" ht="16.5" customHeight="1">
      <c r="A384" s="62"/>
      <c r="B384" s="62"/>
      <c r="C384" s="62"/>
      <c r="D384" s="62"/>
      <c r="E384" s="62"/>
      <c r="F384" s="63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4"/>
      <c r="AG384" s="64"/>
      <c r="AH384" s="64"/>
      <c r="AI384" s="64"/>
      <c r="AJ384" s="64"/>
      <c r="AK384" s="64"/>
      <c r="AL384" s="64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</row>
    <row r="385" ht="16.5" customHeight="1">
      <c r="A385" s="62"/>
      <c r="B385" s="62"/>
      <c r="C385" s="62"/>
      <c r="D385" s="62"/>
      <c r="E385" s="62"/>
      <c r="F385" s="63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4"/>
      <c r="AG385" s="64"/>
      <c r="AH385" s="64"/>
      <c r="AI385" s="64"/>
      <c r="AJ385" s="64"/>
      <c r="AK385" s="64"/>
      <c r="AL385" s="64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</row>
    <row r="386" ht="16.5" customHeight="1">
      <c r="A386" s="62"/>
      <c r="B386" s="62"/>
      <c r="C386" s="62"/>
      <c r="D386" s="62"/>
      <c r="E386" s="62"/>
      <c r="F386" s="63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4"/>
      <c r="AG386" s="64"/>
      <c r="AH386" s="64"/>
      <c r="AI386" s="64"/>
      <c r="AJ386" s="64"/>
      <c r="AK386" s="64"/>
      <c r="AL386" s="64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</row>
    <row r="387" ht="16.5" customHeight="1">
      <c r="A387" s="62"/>
      <c r="B387" s="62"/>
      <c r="C387" s="62"/>
      <c r="D387" s="62"/>
      <c r="E387" s="62"/>
      <c r="F387" s="63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4"/>
      <c r="AG387" s="64"/>
      <c r="AH387" s="64"/>
      <c r="AI387" s="64"/>
      <c r="AJ387" s="64"/>
      <c r="AK387" s="64"/>
      <c r="AL387" s="64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</row>
    <row r="388" ht="16.5" customHeight="1">
      <c r="A388" s="62"/>
      <c r="B388" s="62"/>
      <c r="C388" s="62"/>
      <c r="D388" s="62"/>
      <c r="E388" s="62"/>
      <c r="F388" s="63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4"/>
      <c r="AG388" s="64"/>
      <c r="AH388" s="64"/>
      <c r="AI388" s="64"/>
      <c r="AJ388" s="64"/>
      <c r="AK388" s="64"/>
      <c r="AL388" s="64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</row>
    <row r="389" ht="16.5" customHeight="1">
      <c r="A389" s="62"/>
      <c r="B389" s="62"/>
      <c r="C389" s="62"/>
      <c r="D389" s="62"/>
      <c r="E389" s="62"/>
      <c r="F389" s="63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4"/>
      <c r="AG389" s="64"/>
      <c r="AH389" s="64"/>
      <c r="AI389" s="64"/>
      <c r="AJ389" s="64"/>
      <c r="AK389" s="64"/>
      <c r="AL389" s="64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</row>
    <row r="390" ht="16.5" customHeight="1">
      <c r="A390" s="62"/>
      <c r="B390" s="62"/>
      <c r="C390" s="62"/>
      <c r="D390" s="62"/>
      <c r="E390" s="62"/>
      <c r="F390" s="63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4"/>
      <c r="AG390" s="64"/>
      <c r="AH390" s="64"/>
      <c r="AI390" s="64"/>
      <c r="AJ390" s="64"/>
      <c r="AK390" s="64"/>
      <c r="AL390" s="64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</row>
    <row r="391" ht="16.5" customHeight="1">
      <c r="A391" s="62"/>
      <c r="B391" s="62"/>
      <c r="C391" s="62"/>
      <c r="D391" s="62"/>
      <c r="E391" s="62"/>
      <c r="F391" s="63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4"/>
      <c r="AG391" s="64"/>
      <c r="AH391" s="64"/>
      <c r="AI391" s="64"/>
      <c r="AJ391" s="64"/>
      <c r="AK391" s="64"/>
      <c r="AL391" s="64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</row>
    <row r="392" ht="16.5" customHeight="1">
      <c r="A392" s="62"/>
      <c r="B392" s="62"/>
      <c r="C392" s="62"/>
      <c r="D392" s="62"/>
      <c r="E392" s="62"/>
      <c r="F392" s="63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4"/>
      <c r="AG392" s="64"/>
      <c r="AH392" s="64"/>
      <c r="AI392" s="64"/>
      <c r="AJ392" s="64"/>
      <c r="AK392" s="64"/>
      <c r="AL392" s="64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</row>
    <row r="393" ht="16.5" customHeight="1">
      <c r="A393" s="62"/>
      <c r="B393" s="62"/>
      <c r="C393" s="62"/>
      <c r="D393" s="62"/>
      <c r="E393" s="62"/>
      <c r="F393" s="63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4"/>
      <c r="AG393" s="64"/>
      <c r="AH393" s="64"/>
      <c r="AI393" s="64"/>
      <c r="AJ393" s="64"/>
      <c r="AK393" s="64"/>
      <c r="AL393" s="64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</row>
    <row r="394" ht="16.5" customHeight="1">
      <c r="A394" s="62"/>
      <c r="B394" s="62"/>
      <c r="C394" s="62"/>
      <c r="D394" s="62"/>
      <c r="E394" s="62"/>
      <c r="F394" s="63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4"/>
      <c r="AG394" s="64"/>
      <c r="AH394" s="64"/>
      <c r="AI394" s="64"/>
      <c r="AJ394" s="64"/>
      <c r="AK394" s="64"/>
      <c r="AL394" s="64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</row>
    <row r="395" ht="16.5" customHeight="1">
      <c r="A395" s="62"/>
      <c r="B395" s="62"/>
      <c r="C395" s="62"/>
      <c r="D395" s="62"/>
      <c r="E395" s="62"/>
      <c r="F395" s="63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4"/>
      <c r="AG395" s="64"/>
      <c r="AH395" s="64"/>
      <c r="AI395" s="64"/>
      <c r="AJ395" s="64"/>
      <c r="AK395" s="64"/>
      <c r="AL395" s="64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</row>
    <row r="396" ht="16.5" customHeight="1">
      <c r="A396" s="62"/>
      <c r="B396" s="62"/>
      <c r="C396" s="62"/>
      <c r="D396" s="62"/>
      <c r="E396" s="62"/>
      <c r="F396" s="63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4"/>
      <c r="AG396" s="64"/>
      <c r="AH396" s="64"/>
      <c r="AI396" s="64"/>
      <c r="AJ396" s="64"/>
      <c r="AK396" s="64"/>
      <c r="AL396" s="64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</row>
    <row r="397" ht="16.5" customHeight="1">
      <c r="A397" s="62"/>
      <c r="B397" s="62"/>
      <c r="C397" s="62"/>
      <c r="D397" s="62"/>
      <c r="E397" s="62"/>
      <c r="F397" s="63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4"/>
      <c r="AG397" s="64"/>
      <c r="AH397" s="64"/>
      <c r="AI397" s="64"/>
      <c r="AJ397" s="64"/>
      <c r="AK397" s="64"/>
      <c r="AL397" s="64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</row>
    <row r="398" ht="16.5" customHeight="1">
      <c r="A398" s="62"/>
      <c r="B398" s="62"/>
      <c r="C398" s="62"/>
      <c r="D398" s="62"/>
      <c r="E398" s="62"/>
      <c r="F398" s="63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4"/>
      <c r="AG398" s="64"/>
      <c r="AH398" s="64"/>
      <c r="AI398" s="64"/>
      <c r="AJ398" s="64"/>
      <c r="AK398" s="64"/>
      <c r="AL398" s="64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</row>
    <row r="399" ht="16.5" customHeight="1">
      <c r="A399" s="62"/>
      <c r="B399" s="62"/>
      <c r="C399" s="62"/>
      <c r="D399" s="62"/>
      <c r="E399" s="62"/>
      <c r="F399" s="63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4"/>
      <c r="AG399" s="64"/>
      <c r="AH399" s="64"/>
      <c r="AI399" s="64"/>
      <c r="AJ399" s="64"/>
      <c r="AK399" s="64"/>
      <c r="AL399" s="64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</row>
    <row r="400" ht="16.5" customHeight="1">
      <c r="A400" s="62"/>
      <c r="B400" s="62"/>
      <c r="C400" s="62"/>
      <c r="D400" s="62"/>
      <c r="E400" s="62"/>
      <c r="F400" s="63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4"/>
      <c r="AG400" s="64"/>
      <c r="AH400" s="64"/>
      <c r="AI400" s="64"/>
      <c r="AJ400" s="64"/>
      <c r="AK400" s="64"/>
      <c r="AL400" s="64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</row>
    <row r="401" ht="16.5" customHeight="1">
      <c r="A401" s="62"/>
      <c r="B401" s="62"/>
      <c r="C401" s="62"/>
      <c r="D401" s="62"/>
      <c r="E401" s="62"/>
      <c r="F401" s="63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4"/>
      <c r="AG401" s="64"/>
      <c r="AH401" s="64"/>
      <c r="AI401" s="64"/>
      <c r="AJ401" s="64"/>
      <c r="AK401" s="64"/>
      <c r="AL401" s="64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</row>
    <row r="402" ht="16.5" customHeight="1">
      <c r="A402" s="62"/>
      <c r="B402" s="62"/>
      <c r="C402" s="62"/>
      <c r="D402" s="62"/>
      <c r="E402" s="62"/>
      <c r="F402" s="63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4"/>
      <c r="AG402" s="64"/>
      <c r="AH402" s="64"/>
      <c r="AI402" s="64"/>
      <c r="AJ402" s="64"/>
      <c r="AK402" s="64"/>
      <c r="AL402" s="64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</row>
    <row r="403" ht="16.5" customHeight="1">
      <c r="A403" s="62"/>
      <c r="B403" s="62"/>
      <c r="C403" s="62"/>
      <c r="D403" s="62"/>
      <c r="E403" s="62"/>
      <c r="F403" s="63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4"/>
      <c r="AG403" s="64"/>
      <c r="AH403" s="64"/>
      <c r="AI403" s="64"/>
      <c r="AJ403" s="64"/>
      <c r="AK403" s="64"/>
      <c r="AL403" s="64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</row>
    <row r="404" ht="16.5" customHeight="1">
      <c r="A404" s="62"/>
      <c r="B404" s="62"/>
      <c r="C404" s="62"/>
      <c r="D404" s="62"/>
      <c r="E404" s="62"/>
      <c r="F404" s="63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4"/>
      <c r="AG404" s="64"/>
      <c r="AH404" s="64"/>
      <c r="AI404" s="64"/>
      <c r="AJ404" s="64"/>
      <c r="AK404" s="64"/>
      <c r="AL404" s="64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</row>
    <row r="405" ht="16.5" customHeight="1">
      <c r="A405" s="62"/>
      <c r="B405" s="62"/>
      <c r="C405" s="62"/>
      <c r="D405" s="62"/>
      <c r="E405" s="62"/>
      <c r="F405" s="63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4"/>
      <c r="AG405" s="64"/>
      <c r="AH405" s="64"/>
      <c r="AI405" s="64"/>
      <c r="AJ405" s="64"/>
      <c r="AK405" s="64"/>
      <c r="AL405" s="64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</row>
    <row r="406" ht="16.5" customHeight="1">
      <c r="A406" s="62"/>
      <c r="B406" s="62"/>
      <c r="C406" s="62"/>
      <c r="D406" s="62"/>
      <c r="E406" s="62"/>
      <c r="F406" s="63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4"/>
      <c r="AG406" s="64"/>
      <c r="AH406" s="64"/>
      <c r="AI406" s="64"/>
      <c r="AJ406" s="64"/>
      <c r="AK406" s="64"/>
      <c r="AL406" s="64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</row>
    <row r="407" ht="16.5" customHeight="1">
      <c r="A407" s="62"/>
      <c r="B407" s="62"/>
      <c r="C407" s="62"/>
      <c r="D407" s="62"/>
      <c r="E407" s="62"/>
      <c r="F407" s="63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4"/>
      <c r="AG407" s="64"/>
      <c r="AH407" s="64"/>
      <c r="AI407" s="64"/>
      <c r="AJ407" s="64"/>
      <c r="AK407" s="64"/>
      <c r="AL407" s="64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</row>
    <row r="408" ht="16.5" customHeight="1">
      <c r="A408" s="62"/>
      <c r="B408" s="62"/>
      <c r="C408" s="62"/>
      <c r="D408" s="62"/>
      <c r="E408" s="62"/>
      <c r="F408" s="63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4"/>
      <c r="AG408" s="64"/>
      <c r="AH408" s="64"/>
      <c r="AI408" s="64"/>
      <c r="AJ408" s="64"/>
      <c r="AK408" s="64"/>
      <c r="AL408" s="64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</row>
    <row r="409" ht="16.5" customHeight="1">
      <c r="A409" s="62"/>
      <c r="B409" s="62"/>
      <c r="C409" s="62"/>
      <c r="D409" s="62"/>
      <c r="E409" s="62"/>
      <c r="F409" s="63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4"/>
      <c r="AG409" s="64"/>
      <c r="AH409" s="64"/>
      <c r="AI409" s="64"/>
      <c r="AJ409" s="64"/>
      <c r="AK409" s="64"/>
      <c r="AL409" s="64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</row>
    <row r="410" ht="16.5" customHeight="1">
      <c r="A410" s="62"/>
      <c r="B410" s="62"/>
      <c r="C410" s="62"/>
      <c r="D410" s="62"/>
      <c r="E410" s="62"/>
      <c r="F410" s="63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4"/>
      <c r="AG410" s="64"/>
      <c r="AH410" s="64"/>
      <c r="AI410" s="64"/>
      <c r="AJ410" s="64"/>
      <c r="AK410" s="64"/>
      <c r="AL410" s="64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</row>
    <row r="411" ht="16.5" customHeight="1">
      <c r="A411" s="62"/>
      <c r="B411" s="62"/>
      <c r="C411" s="62"/>
      <c r="D411" s="62"/>
      <c r="E411" s="62"/>
      <c r="F411" s="63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4"/>
      <c r="AG411" s="64"/>
      <c r="AH411" s="64"/>
      <c r="AI411" s="64"/>
      <c r="AJ411" s="64"/>
      <c r="AK411" s="64"/>
      <c r="AL411" s="64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</row>
    <row r="412" ht="16.5" customHeight="1">
      <c r="A412" s="62"/>
      <c r="B412" s="62"/>
      <c r="C412" s="62"/>
      <c r="D412" s="62"/>
      <c r="E412" s="62"/>
      <c r="F412" s="63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4"/>
      <c r="AG412" s="64"/>
      <c r="AH412" s="64"/>
      <c r="AI412" s="64"/>
      <c r="AJ412" s="64"/>
      <c r="AK412" s="64"/>
      <c r="AL412" s="64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</row>
    <row r="413" ht="16.5" customHeight="1">
      <c r="A413" s="62"/>
      <c r="B413" s="62"/>
      <c r="C413" s="62"/>
      <c r="D413" s="62"/>
      <c r="E413" s="62"/>
      <c r="F413" s="63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4"/>
      <c r="AG413" s="64"/>
      <c r="AH413" s="64"/>
      <c r="AI413" s="64"/>
      <c r="AJ413" s="64"/>
      <c r="AK413" s="64"/>
      <c r="AL413" s="64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</row>
    <row r="414" ht="16.5" customHeight="1">
      <c r="A414" s="62"/>
      <c r="B414" s="62"/>
      <c r="C414" s="62"/>
      <c r="D414" s="62"/>
      <c r="E414" s="62"/>
      <c r="F414" s="63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4"/>
      <c r="AG414" s="64"/>
      <c r="AH414" s="64"/>
      <c r="AI414" s="64"/>
      <c r="AJ414" s="64"/>
      <c r="AK414" s="64"/>
      <c r="AL414" s="64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</row>
    <row r="415" ht="16.5" customHeight="1">
      <c r="A415" s="62"/>
      <c r="B415" s="62"/>
      <c r="C415" s="62"/>
      <c r="D415" s="62"/>
      <c r="E415" s="62"/>
      <c r="F415" s="63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4"/>
      <c r="AG415" s="64"/>
      <c r="AH415" s="64"/>
      <c r="AI415" s="64"/>
      <c r="AJ415" s="64"/>
      <c r="AK415" s="64"/>
      <c r="AL415" s="64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</row>
    <row r="416" ht="16.5" customHeight="1">
      <c r="A416" s="62"/>
      <c r="B416" s="62"/>
      <c r="C416" s="62"/>
      <c r="D416" s="62"/>
      <c r="E416" s="62"/>
      <c r="F416" s="63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4"/>
      <c r="AG416" s="64"/>
      <c r="AH416" s="64"/>
      <c r="AI416" s="64"/>
      <c r="AJ416" s="64"/>
      <c r="AK416" s="64"/>
      <c r="AL416" s="64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</row>
    <row r="417" ht="16.5" customHeight="1">
      <c r="A417" s="62"/>
      <c r="B417" s="62"/>
      <c r="C417" s="62"/>
      <c r="D417" s="62"/>
      <c r="E417" s="62"/>
      <c r="F417" s="63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4"/>
      <c r="AG417" s="64"/>
      <c r="AH417" s="64"/>
      <c r="AI417" s="64"/>
      <c r="AJ417" s="64"/>
      <c r="AK417" s="64"/>
      <c r="AL417" s="64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</row>
    <row r="418" ht="16.5" customHeight="1">
      <c r="A418" s="62"/>
      <c r="B418" s="62"/>
      <c r="C418" s="62"/>
      <c r="D418" s="62"/>
      <c r="E418" s="62"/>
      <c r="F418" s="63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4"/>
      <c r="AG418" s="64"/>
      <c r="AH418" s="64"/>
      <c r="AI418" s="64"/>
      <c r="AJ418" s="64"/>
      <c r="AK418" s="64"/>
      <c r="AL418" s="64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</row>
    <row r="419" ht="16.5" customHeight="1">
      <c r="A419" s="62"/>
      <c r="B419" s="62"/>
      <c r="C419" s="62"/>
      <c r="D419" s="62"/>
      <c r="E419" s="62"/>
      <c r="F419" s="63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4"/>
      <c r="AG419" s="64"/>
      <c r="AH419" s="64"/>
      <c r="AI419" s="64"/>
      <c r="AJ419" s="64"/>
      <c r="AK419" s="64"/>
      <c r="AL419" s="64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</row>
    <row r="420" ht="16.5" customHeight="1">
      <c r="A420" s="62"/>
      <c r="B420" s="62"/>
      <c r="C420" s="62"/>
      <c r="D420" s="62"/>
      <c r="E420" s="62"/>
      <c r="F420" s="63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4"/>
      <c r="AG420" s="64"/>
      <c r="AH420" s="64"/>
      <c r="AI420" s="64"/>
      <c r="AJ420" s="64"/>
      <c r="AK420" s="64"/>
      <c r="AL420" s="64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</row>
    <row r="421" ht="16.5" customHeight="1">
      <c r="A421" s="62"/>
      <c r="B421" s="62"/>
      <c r="C421" s="62"/>
      <c r="D421" s="62"/>
      <c r="E421" s="62"/>
      <c r="F421" s="63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4"/>
      <c r="AG421" s="64"/>
      <c r="AH421" s="64"/>
      <c r="AI421" s="64"/>
      <c r="AJ421" s="64"/>
      <c r="AK421" s="64"/>
      <c r="AL421" s="64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</row>
    <row r="422" ht="16.5" customHeight="1">
      <c r="A422" s="62"/>
      <c r="B422" s="62"/>
      <c r="C422" s="62"/>
      <c r="D422" s="62"/>
      <c r="E422" s="62"/>
      <c r="F422" s="63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4"/>
      <c r="AG422" s="64"/>
      <c r="AH422" s="64"/>
      <c r="AI422" s="64"/>
      <c r="AJ422" s="64"/>
      <c r="AK422" s="64"/>
      <c r="AL422" s="64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</row>
    <row r="423" ht="16.5" customHeight="1">
      <c r="A423" s="62"/>
      <c r="B423" s="62"/>
      <c r="C423" s="62"/>
      <c r="D423" s="62"/>
      <c r="E423" s="62"/>
      <c r="F423" s="63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4"/>
      <c r="AG423" s="64"/>
      <c r="AH423" s="64"/>
      <c r="AI423" s="64"/>
      <c r="AJ423" s="64"/>
      <c r="AK423" s="64"/>
      <c r="AL423" s="64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</row>
    <row r="424" ht="16.5" customHeight="1">
      <c r="A424" s="62"/>
      <c r="B424" s="62"/>
      <c r="C424" s="62"/>
      <c r="D424" s="62"/>
      <c r="E424" s="62"/>
      <c r="F424" s="63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4"/>
      <c r="AG424" s="64"/>
      <c r="AH424" s="64"/>
      <c r="AI424" s="64"/>
      <c r="AJ424" s="64"/>
      <c r="AK424" s="64"/>
      <c r="AL424" s="64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</row>
    <row r="425" ht="16.5" customHeight="1">
      <c r="A425" s="62"/>
      <c r="B425" s="62"/>
      <c r="C425" s="62"/>
      <c r="D425" s="62"/>
      <c r="E425" s="62"/>
      <c r="F425" s="63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4"/>
      <c r="AG425" s="64"/>
      <c r="AH425" s="64"/>
      <c r="AI425" s="64"/>
      <c r="AJ425" s="64"/>
      <c r="AK425" s="64"/>
      <c r="AL425" s="64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</row>
    <row r="426" ht="16.5" customHeight="1">
      <c r="A426" s="62"/>
      <c r="B426" s="62"/>
      <c r="C426" s="62"/>
      <c r="D426" s="62"/>
      <c r="E426" s="62"/>
      <c r="F426" s="63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4"/>
      <c r="AG426" s="64"/>
      <c r="AH426" s="64"/>
      <c r="AI426" s="64"/>
      <c r="AJ426" s="64"/>
      <c r="AK426" s="64"/>
      <c r="AL426" s="64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</row>
    <row r="427" ht="16.5" customHeight="1">
      <c r="A427" s="62"/>
      <c r="B427" s="62"/>
      <c r="C427" s="62"/>
      <c r="D427" s="62"/>
      <c r="E427" s="62"/>
      <c r="F427" s="63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4"/>
      <c r="AG427" s="64"/>
      <c r="AH427" s="64"/>
      <c r="AI427" s="64"/>
      <c r="AJ427" s="64"/>
      <c r="AK427" s="64"/>
      <c r="AL427" s="64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</row>
    <row r="428" ht="16.5" customHeight="1">
      <c r="A428" s="62"/>
      <c r="B428" s="62"/>
      <c r="C428" s="62"/>
      <c r="D428" s="62"/>
      <c r="E428" s="62"/>
      <c r="F428" s="63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4"/>
      <c r="AG428" s="64"/>
      <c r="AH428" s="64"/>
      <c r="AI428" s="64"/>
      <c r="AJ428" s="64"/>
      <c r="AK428" s="64"/>
      <c r="AL428" s="64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</row>
    <row r="429" ht="16.5" customHeight="1">
      <c r="A429" s="62"/>
      <c r="B429" s="62"/>
      <c r="C429" s="62"/>
      <c r="D429" s="62"/>
      <c r="E429" s="62"/>
      <c r="F429" s="63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4"/>
      <c r="AG429" s="64"/>
      <c r="AH429" s="64"/>
      <c r="AI429" s="64"/>
      <c r="AJ429" s="64"/>
      <c r="AK429" s="64"/>
      <c r="AL429" s="64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</row>
    <row r="430" ht="16.5" customHeight="1">
      <c r="A430" s="62"/>
      <c r="B430" s="62"/>
      <c r="C430" s="62"/>
      <c r="D430" s="62"/>
      <c r="E430" s="62"/>
      <c r="F430" s="63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4"/>
      <c r="AG430" s="64"/>
      <c r="AH430" s="64"/>
      <c r="AI430" s="64"/>
      <c r="AJ430" s="64"/>
      <c r="AK430" s="64"/>
      <c r="AL430" s="64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</row>
    <row r="431" ht="16.5" customHeight="1">
      <c r="A431" s="62"/>
      <c r="B431" s="62"/>
      <c r="C431" s="62"/>
      <c r="D431" s="62"/>
      <c r="E431" s="62"/>
      <c r="F431" s="63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4"/>
      <c r="AG431" s="64"/>
      <c r="AH431" s="64"/>
      <c r="AI431" s="64"/>
      <c r="AJ431" s="64"/>
      <c r="AK431" s="64"/>
      <c r="AL431" s="64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</row>
    <row r="432" ht="16.5" customHeight="1">
      <c r="A432" s="62"/>
      <c r="B432" s="62"/>
      <c r="C432" s="62"/>
      <c r="D432" s="62"/>
      <c r="E432" s="62"/>
      <c r="F432" s="63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4"/>
      <c r="AG432" s="64"/>
      <c r="AH432" s="64"/>
      <c r="AI432" s="64"/>
      <c r="AJ432" s="64"/>
      <c r="AK432" s="64"/>
      <c r="AL432" s="64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</row>
    <row r="433" ht="16.5" customHeight="1">
      <c r="A433" s="62"/>
      <c r="B433" s="62"/>
      <c r="C433" s="62"/>
      <c r="D433" s="62"/>
      <c r="E433" s="62"/>
      <c r="F433" s="63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4"/>
      <c r="AG433" s="64"/>
      <c r="AH433" s="64"/>
      <c r="AI433" s="64"/>
      <c r="AJ433" s="64"/>
      <c r="AK433" s="64"/>
      <c r="AL433" s="64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</row>
    <row r="434" ht="16.5" customHeight="1">
      <c r="A434" s="62"/>
      <c r="B434" s="62"/>
      <c r="C434" s="62"/>
      <c r="D434" s="62"/>
      <c r="E434" s="62"/>
      <c r="F434" s="63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4"/>
      <c r="AG434" s="64"/>
      <c r="AH434" s="64"/>
      <c r="AI434" s="64"/>
      <c r="AJ434" s="64"/>
      <c r="AK434" s="64"/>
      <c r="AL434" s="64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</row>
    <row r="435" ht="16.5" customHeight="1">
      <c r="A435" s="62"/>
      <c r="B435" s="62"/>
      <c r="C435" s="62"/>
      <c r="D435" s="62"/>
      <c r="E435" s="62"/>
      <c r="F435" s="63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4"/>
      <c r="AG435" s="64"/>
      <c r="AH435" s="64"/>
      <c r="AI435" s="64"/>
      <c r="AJ435" s="64"/>
      <c r="AK435" s="64"/>
      <c r="AL435" s="64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</row>
    <row r="436" ht="16.5" customHeight="1">
      <c r="A436" s="62"/>
      <c r="B436" s="62"/>
      <c r="C436" s="62"/>
      <c r="D436" s="62"/>
      <c r="E436" s="62"/>
      <c r="F436" s="63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4"/>
      <c r="AG436" s="64"/>
      <c r="AH436" s="64"/>
      <c r="AI436" s="64"/>
      <c r="AJ436" s="64"/>
      <c r="AK436" s="64"/>
      <c r="AL436" s="64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</row>
    <row r="437" ht="16.5" customHeight="1">
      <c r="A437" s="62"/>
      <c r="B437" s="62"/>
      <c r="C437" s="62"/>
      <c r="D437" s="62"/>
      <c r="E437" s="62"/>
      <c r="F437" s="63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4"/>
      <c r="AG437" s="64"/>
      <c r="AH437" s="64"/>
      <c r="AI437" s="64"/>
      <c r="AJ437" s="64"/>
      <c r="AK437" s="64"/>
      <c r="AL437" s="64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</row>
    <row r="438" ht="16.5" customHeight="1">
      <c r="A438" s="62"/>
      <c r="B438" s="62"/>
      <c r="C438" s="62"/>
      <c r="D438" s="62"/>
      <c r="E438" s="62"/>
      <c r="F438" s="63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4"/>
      <c r="AG438" s="64"/>
      <c r="AH438" s="64"/>
      <c r="AI438" s="64"/>
      <c r="AJ438" s="64"/>
      <c r="AK438" s="64"/>
      <c r="AL438" s="64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</row>
    <row r="439" ht="16.5" customHeight="1">
      <c r="A439" s="62"/>
      <c r="B439" s="62"/>
      <c r="C439" s="62"/>
      <c r="D439" s="62"/>
      <c r="E439" s="62"/>
      <c r="F439" s="63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4"/>
      <c r="AG439" s="64"/>
      <c r="AH439" s="64"/>
      <c r="AI439" s="64"/>
      <c r="AJ439" s="64"/>
      <c r="AK439" s="64"/>
      <c r="AL439" s="64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</row>
    <row r="440" ht="16.5" customHeight="1">
      <c r="A440" s="62"/>
      <c r="B440" s="62"/>
      <c r="C440" s="62"/>
      <c r="D440" s="62"/>
      <c r="E440" s="62"/>
      <c r="F440" s="63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4"/>
      <c r="AG440" s="64"/>
      <c r="AH440" s="64"/>
      <c r="AI440" s="64"/>
      <c r="AJ440" s="64"/>
      <c r="AK440" s="64"/>
      <c r="AL440" s="64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</row>
    <row r="441" ht="16.5" customHeight="1">
      <c r="A441" s="62"/>
      <c r="B441" s="62"/>
      <c r="C441" s="62"/>
      <c r="D441" s="62"/>
      <c r="E441" s="62"/>
      <c r="F441" s="63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4"/>
      <c r="AG441" s="64"/>
      <c r="AH441" s="64"/>
      <c r="AI441" s="64"/>
      <c r="AJ441" s="64"/>
      <c r="AK441" s="64"/>
      <c r="AL441" s="64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</row>
    <row r="442" ht="16.5" customHeight="1">
      <c r="A442" s="62"/>
      <c r="B442" s="62"/>
      <c r="C442" s="62"/>
      <c r="D442" s="62"/>
      <c r="E442" s="62"/>
      <c r="F442" s="63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4"/>
      <c r="AG442" s="64"/>
      <c r="AH442" s="64"/>
      <c r="AI442" s="64"/>
      <c r="AJ442" s="64"/>
      <c r="AK442" s="64"/>
      <c r="AL442" s="64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</row>
    <row r="443" ht="16.5" customHeight="1">
      <c r="A443" s="62"/>
      <c r="B443" s="62"/>
      <c r="C443" s="62"/>
      <c r="D443" s="62"/>
      <c r="E443" s="62"/>
      <c r="F443" s="63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4"/>
      <c r="AG443" s="64"/>
      <c r="AH443" s="64"/>
      <c r="AI443" s="64"/>
      <c r="AJ443" s="64"/>
      <c r="AK443" s="64"/>
      <c r="AL443" s="64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</row>
    <row r="444" ht="16.5" customHeight="1">
      <c r="A444" s="62"/>
      <c r="B444" s="62"/>
      <c r="C444" s="62"/>
      <c r="D444" s="62"/>
      <c r="E444" s="62"/>
      <c r="F444" s="63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4"/>
      <c r="AG444" s="64"/>
      <c r="AH444" s="64"/>
      <c r="AI444" s="64"/>
      <c r="AJ444" s="64"/>
      <c r="AK444" s="64"/>
      <c r="AL444" s="64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</row>
    <row r="445" ht="16.5" customHeight="1">
      <c r="A445" s="62"/>
      <c r="B445" s="62"/>
      <c r="C445" s="62"/>
      <c r="D445" s="62"/>
      <c r="E445" s="62"/>
      <c r="F445" s="63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4"/>
      <c r="AG445" s="64"/>
      <c r="AH445" s="64"/>
      <c r="AI445" s="64"/>
      <c r="AJ445" s="64"/>
      <c r="AK445" s="64"/>
      <c r="AL445" s="64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</row>
    <row r="446" ht="16.5" customHeight="1">
      <c r="A446" s="62"/>
      <c r="B446" s="62"/>
      <c r="C446" s="62"/>
      <c r="D446" s="62"/>
      <c r="E446" s="62"/>
      <c r="F446" s="63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4"/>
      <c r="AG446" s="64"/>
      <c r="AH446" s="64"/>
      <c r="AI446" s="64"/>
      <c r="AJ446" s="64"/>
      <c r="AK446" s="64"/>
      <c r="AL446" s="64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</row>
    <row r="447" ht="16.5" customHeight="1">
      <c r="A447" s="62"/>
      <c r="B447" s="62"/>
      <c r="C447" s="62"/>
      <c r="D447" s="62"/>
      <c r="E447" s="62"/>
      <c r="F447" s="63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4"/>
      <c r="AG447" s="64"/>
      <c r="AH447" s="64"/>
      <c r="AI447" s="64"/>
      <c r="AJ447" s="64"/>
      <c r="AK447" s="64"/>
      <c r="AL447" s="64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</row>
    <row r="448" ht="16.5" customHeight="1">
      <c r="A448" s="62"/>
      <c r="B448" s="62"/>
      <c r="C448" s="62"/>
      <c r="D448" s="62"/>
      <c r="E448" s="62"/>
      <c r="F448" s="63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4"/>
      <c r="AG448" s="64"/>
      <c r="AH448" s="64"/>
      <c r="AI448" s="64"/>
      <c r="AJ448" s="64"/>
      <c r="AK448" s="64"/>
      <c r="AL448" s="64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</row>
    <row r="449" ht="16.5" customHeight="1">
      <c r="A449" s="62"/>
      <c r="B449" s="62"/>
      <c r="C449" s="62"/>
      <c r="D449" s="62"/>
      <c r="E449" s="62"/>
      <c r="F449" s="63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4"/>
      <c r="AG449" s="64"/>
      <c r="AH449" s="64"/>
      <c r="AI449" s="64"/>
      <c r="AJ449" s="64"/>
      <c r="AK449" s="64"/>
      <c r="AL449" s="64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</row>
    <row r="450" ht="16.5" customHeight="1">
      <c r="A450" s="62"/>
      <c r="B450" s="62"/>
      <c r="C450" s="62"/>
      <c r="D450" s="62"/>
      <c r="E450" s="62"/>
      <c r="F450" s="63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4"/>
      <c r="AG450" s="64"/>
      <c r="AH450" s="64"/>
      <c r="AI450" s="64"/>
      <c r="AJ450" s="64"/>
      <c r="AK450" s="64"/>
      <c r="AL450" s="64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</row>
    <row r="451" ht="16.5" customHeight="1">
      <c r="A451" s="62"/>
      <c r="B451" s="62"/>
      <c r="C451" s="62"/>
      <c r="D451" s="62"/>
      <c r="E451" s="62"/>
      <c r="F451" s="63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4"/>
      <c r="AG451" s="64"/>
      <c r="AH451" s="64"/>
      <c r="AI451" s="64"/>
      <c r="AJ451" s="64"/>
      <c r="AK451" s="64"/>
      <c r="AL451" s="64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</row>
    <row r="452" ht="16.5" customHeight="1">
      <c r="A452" s="62"/>
      <c r="B452" s="62"/>
      <c r="C452" s="62"/>
      <c r="D452" s="62"/>
      <c r="E452" s="62"/>
      <c r="F452" s="63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4"/>
      <c r="AG452" s="64"/>
      <c r="AH452" s="64"/>
      <c r="AI452" s="64"/>
      <c r="AJ452" s="64"/>
      <c r="AK452" s="64"/>
      <c r="AL452" s="64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</row>
    <row r="453" ht="16.5" customHeight="1">
      <c r="A453" s="62"/>
      <c r="B453" s="62"/>
      <c r="C453" s="62"/>
      <c r="D453" s="62"/>
      <c r="E453" s="62"/>
      <c r="F453" s="63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4"/>
      <c r="AG453" s="64"/>
      <c r="AH453" s="64"/>
      <c r="AI453" s="64"/>
      <c r="AJ453" s="64"/>
      <c r="AK453" s="64"/>
      <c r="AL453" s="64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</row>
    <row r="454" ht="16.5" customHeight="1">
      <c r="A454" s="62"/>
      <c r="B454" s="62"/>
      <c r="C454" s="62"/>
      <c r="D454" s="62"/>
      <c r="E454" s="62"/>
      <c r="F454" s="63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4"/>
      <c r="AG454" s="64"/>
      <c r="AH454" s="64"/>
      <c r="AI454" s="64"/>
      <c r="AJ454" s="64"/>
      <c r="AK454" s="64"/>
      <c r="AL454" s="64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</row>
    <row r="455" ht="16.5" customHeight="1">
      <c r="A455" s="62"/>
      <c r="B455" s="62"/>
      <c r="C455" s="62"/>
      <c r="D455" s="62"/>
      <c r="E455" s="62"/>
      <c r="F455" s="63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4"/>
      <c r="AG455" s="64"/>
      <c r="AH455" s="64"/>
      <c r="AI455" s="64"/>
      <c r="AJ455" s="64"/>
      <c r="AK455" s="64"/>
      <c r="AL455" s="64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</row>
    <row r="456" ht="16.5" customHeight="1">
      <c r="A456" s="62"/>
      <c r="B456" s="62"/>
      <c r="C456" s="62"/>
      <c r="D456" s="62"/>
      <c r="E456" s="62"/>
      <c r="F456" s="63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4"/>
      <c r="AG456" s="64"/>
      <c r="AH456" s="64"/>
      <c r="AI456" s="64"/>
      <c r="AJ456" s="64"/>
      <c r="AK456" s="64"/>
      <c r="AL456" s="64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</row>
    <row r="457" ht="16.5" customHeight="1">
      <c r="A457" s="62"/>
      <c r="B457" s="62"/>
      <c r="C457" s="62"/>
      <c r="D457" s="62"/>
      <c r="E457" s="62"/>
      <c r="F457" s="63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4"/>
      <c r="AG457" s="64"/>
      <c r="AH457" s="64"/>
      <c r="AI457" s="64"/>
      <c r="AJ457" s="64"/>
      <c r="AK457" s="64"/>
      <c r="AL457" s="64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</row>
    <row r="458" ht="16.5" customHeight="1">
      <c r="A458" s="62"/>
      <c r="B458" s="62"/>
      <c r="C458" s="62"/>
      <c r="D458" s="62"/>
      <c r="E458" s="62"/>
      <c r="F458" s="63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4"/>
      <c r="AG458" s="64"/>
      <c r="AH458" s="64"/>
      <c r="AI458" s="64"/>
      <c r="AJ458" s="64"/>
      <c r="AK458" s="64"/>
      <c r="AL458" s="64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</row>
    <row r="459" ht="16.5" customHeight="1">
      <c r="A459" s="62"/>
      <c r="B459" s="62"/>
      <c r="C459" s="62"/>
      <c r="D459" s="62"/>
      <c r="E459" s="62"/>
      <c r="F459" s="63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4"/>
      <c r="AG459" s="64"/>
      <c r="AH459" s="64"/>
      <c r="AI459" s="64"/>
      <c r="AJ459" s="64"/>
      <c r="AK459" s="64"/>
      <c r="AL459" s="64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</row>
    <row r="460" ht="16.5" customHeight="1">
      <c r="A460" s="62"/>
      <c r="B460" s="62"/>
      <c r="C460" s="62"/>
      <c r="D460" s="62"/>
      <c r="E460" s="62"/>
      <c r="F460" s="63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4"/>
      <c r="AG460" s="64"/>
      <c r="AH460" s="64"/>
      <c r="AI460" s="64"/>
      <c r="AJ460" s="64"/>
      <c r="AK460" s="64"/>
      <c r="AL460" s="64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</row>
    <row r="461" ht="16.5" customHeight="1">
      <c r="A461" s="62"/>
      <c r="B461" s="62"/>
      <c r="C461" s="62"/>
      <c r="D461" s="62"/>
      <c r="E461" s="62"/>
      <c r="F461" s="63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4"/>
      <c r="AG461" s="64"/>
      <c r="AH461" s="64"/>
      <c r="AI461" s="64"/>
      <c r="AJ461" s="64"/>
      <c r="AK461" s="64"/>
      <c r="AL461" s="64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</row>
    <row r="462" ht="16.5" customHeight="1">
      <c r="A462" s="62"/>
      <c r="B462" s="62"/>
      <c r="C462" s="62"/>
      <c r="D462" s="62"/>
      <c r="E462" s="62"/>
      <c r="F462" s="63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4"/>
      <c r="AG462" s="64"/>
      <c r="AH462" s="64"/>
      <c r="AI462" s="64"/>
      <c r="AJ462" s="64"/>
      <c r="AK462" s="64"/>
      <c r="AL462" s="64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</row>
    <row r="463" ht="16.5" customHeight="1">
      <c r="A463" s="62"/>
      <c r="B463" s="62"/>
      <c r="C463" s="62"/>
      <c r="D463" s="62"/>
      <c r="E463" s="62"/>
      <c r="F463" s="63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4"/>
      <c r="AG463" s="64"/>
      <c r="AH463" s="64"/>
      <c r="AI463" s="64"/>
      <c r="AJ463" s="64"/>
      <c r="AK463" s="64"/>
      <c r="AL463" s="64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</row>
    <row r="464" ht="16.5" customHeight="1">
      <c r="A464" s="62"/>
      <c r="B464" s="62"/>
      <c r="C464" s="62"/>
      <c r="D464" s="62"/>
      <c r="E464" s="62"/>
      <c r="F464" s="63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4"/>
      <c r="AG464" s="64"/>
      <c r="AH464" s="64"/>
      <c r="AI464" s="64"/>
      <c r="AJ464" s="64"/>
      <c r="AK464" s="64"/>
      <c r="AL464" s="64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</row>
    <row r="465" ht="16.5" customHeight="1">
      <c r="A465" s="62"/>
      <c r="B465" s="62"/>
      <c r="C465" s="62"/>
      <c r="D465" s="62"/>
      <c r="E465" s="62"/>
      <c r="F465" s="63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4"/>
      <c r="AG465" s="64"/>
      <c r="AH465" s="64"/>
      <c r="AI465" s="64"/>
      <c r="AJ465" s="64"/>
      <c r="AK465" s="64"/>
      <c r="AL465" s="64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</row>
    <row r="466" ht="16.5" customHeight="1">
      <c r="A466" s="62"/>
      <c r="B466" s="62"/>
      <c r="C466" s="62"/>
      <c r="D466" s="62"/>
      <c r="E466" s="62"/>
      <c r="F466" s="63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4"/>
      <c r="AG466" s="64"/>
      <c r="AH466" s="64"/>
      <c r="AI466" s="64"/>
      <c r="AJ466" s="64"/>
      <c r="AK466" s="64"/>
      <c r="AL466" s="64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</row>
    <row r="467" ht="16.5" customHeight="1">
      <c r="A467" s="62"/>
      <c r="B467" s="62"/>
      <c r="C467" s="62"/>
      <c r="D467" s="62"/>
      <c r="E467" s="62"/>
      <c r="F467" s="63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4"/>
      <c r="AG467" s="64"/>
      <c r="AH467" s="64"/>
      <c r="AI467" s="64"/>
      <c r="AJ467" s="64"/>
      <c r="AK467" s="64"/>
      <c r="AL467" s="64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</row>
    <row r="468" ht="16.5" customHeight="1">
      <c r="A468" s="62"/>
      <c r="B468" s="62"/>
      <c r="C468" s="62"/>
      <c r="D468" s="62"/>
      <c r="E468" s="62"/>
      <c r="F468" s="63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4"/>
      <c r="AG468" s="64"/>
      <c r="AH468" s="64"/>
      <c r="AI468" s="64"/>
      <c r="AJ468" s="64"/>
      <c r="AK468" s="64"/>
      <c r="AL468" s="64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</row>
    <row r="469" ht="16.5" customHeight="1">
      <c r="A469" s="62"/>
      <c r="B469" s="62"/>
      <c r="C469" s="62"/>
      <c r="D469" s="62"/>
      <c r="E469" s="62"/>
      <c r="F469" s="63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4"/>
      <c r="AG469" s="64"/>
      <c r="AH469" s="64"/>
      <c r="AI469" s="64"/>
      <c r="AJ469" s="64"/>
      <c r="AK469" s="64"/>
      <c r="AL469" s="64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</row>
    <row r="470" ht="16.5" customHeight="1">
      <c r="A470" s="62"/>
      <c r="B470" s="62"/>
      <c r="C470" s="62"/>
      <c r="D470" s="62"/>
      <c r="E470" s="62"/>
      <c r="F470" s="63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4"/>
      <c r="AG470" s="64"/>
      <c r="AH470" s="64"/>
      <c r="AI470" s="64"/>
      <c r="AJ470" s="64"/>
      <c r="AK470" s="64"/>
      <c r="AL470" s="64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</row>
    <row r="471" ht="16.5" customHeight="1">
      <c r="A471" s="62"/>
      <c r="B471" s="62"/>
      <c r="C471" s="62"/>
      <c r="D471" s="62"/>
      <c r="E471" s="62"/>
      <c r="F471" s="63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4"/>
      <c r="AG471" s="64"/>
      <c r="AH471" s="64"/>
      <c r="AI471" s="64"/>
      <c r="AJ471" s="64"/>
      <c r="AK471" s="64"/>
      <c r="AL471" s="64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</row>
    <row r="472" ht="16.5" customHeight="1">
      <c r="A472" s="62"/>
      <c r="B472" s="62"/>
      <c r="C472" s="62"/>
      <c r="D472" s="62"/>
      <c r="E472" s="62"/>
      <c r="F472" s="63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4"/>
      <c r="AG472" s="64"/>
      <c r="AH472" s="64"/>
      <c r="AI472" s="64"/>
      <c r="AJ472" s="64"/>
      <c r="AK472" s="64"/>
      <c r="AL472" s="64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</row>
    <row r="473" ht="16.5" customHeight="1">
      <c r="A473" s="62"/>
      <c r="B473" s="62"/>
      <c r="C473" s="62"/>
      <c r="D473" s="62"/>
      <c r="E473" s="62"/>
      <c r="F473" s="63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4"/>
      <c r="AG473" s="64"/>
      <c r="AH473" s="64"/>
      <c r="AI473" s="64"/>
      <c r="AJ473" s="64"/>
      <c r="AK473" s="64"/>
      <c r="AL473" s="64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</row>
    <row r="474" ht="16.5" customHeight="1">
      <c r="A474" s="62"/>
      <c r="B474" s="62"/>
      <c r="C474" s="62"/>
      <c r="D474" s="62"/>
      <c r="E474" s="62"/>
      <c r="F474" s="63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4"/>
      <c r="AG474" s="64"/>
      <c r="AH474" s="64"/>
      <c r="AI474" s="64"/>
      <c r="AJ474" s="64"/>
      <c r="AK474" s="64"/>
      <c r="AL474" s="64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</row>
    <row r="475" ht="16.5" customHeight="1">
      <c r="A475" s="62"/>
      <c r="B475" s="62"/>
      <c r="C475" s="62"/>
      <c r="D475" s="62"/>
      <c r="E475" s="62"/>
      <c r="F475" s="63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4"/>
      <c r="AG475" s="64"/>
      <c r="AH475" s="64"/>
      <c r="AI475" s="64"/>
      <c r="AJ475" s="64"/>
      <c r="AK475" s="64"/>
      <c r="AL475" s="64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</row>
    <row r="476" ht="16.5" customHeight="1">
      <c r="A476" s="62"/>
      <c r="B476" s="62"/>
      <c r="C476" s="62"/>
      <c r="D476" s="62"/>
      <c r="E476" s="62"/>
      <c r="F476" s="63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4"/>
      <c r="AG476" s="64"/>
      <c r="AH476" s="64"/>
      <c r="AI476" s="64"/>
      <c r="AJ476" s="64"/>
      <c r="AK476" s="64"/>
      <c r="AL476" s="64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</row>
    <row r="477" ht="16.5" customHeight="1">
      <c r="A477" s="62"/>
      <c r="B477" s="62"/>
      <c r="C477" s="62"/>
      <c r="D477" s="62"/>
      <c r="E477" s="62"/>
      <c r="F477" s="63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4"/>
      <c r="AG477" s="64"/>
      <c r="AH477" s="64"/>
      <c r="AI477" s="64"/>
      <c r="AJ477" s="64"/>
      <c r="AK477" s="64"/>
      <c r="AL477" s="64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</row>
    <row r="478" ht="16.5" customHeight="1">
      <c r="A478" s="62"/>
      <c r="B478" s="62"/>
      <c r="C478" s="62"/>
      <c r="D478" s="62"/>
      <c r="E478" s="62"/>
      <c r="F478" s="63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4"/>
      <c r="AG478" s="64"/>
      <c r="AH478" s="64"/>
      <c r="AI478" s="64"/>
      <c r="AJ478" s="64"/>
      <c r="AK478" s="64"/>
      <c r="AL478" s="64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</row>
    <row r="479" ht="16.5" customHeight="1">
      <c r="A479" s="62"/>
      <c r="B479" s="62"/>
      <c r="C479" s="62"/>
      <c r="D479" s="62"/>
      <c r="E479" s="62"/>
      <c r="F479" s="63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4"/>
      <c r="AG479" s="64"/>
      <c r="AH479" s="64"/>
      <c r="AI479" s="64"/>
      <c r="AJ479" s="64"/>
      <c r="AK479" s="64"/>
      <c r="AL479" s="64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</row>
    <row r="480" ht="16.5" customHeight="1">
      <c r="A480" s="62"/>
      <c r="B480" s="62"/>
      <c r="C480" s="62"/>
      <c r="D480" s="62"/>
      <c r="E480" s="62"/>
      <c r="F480" s="63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4"/>
      <c r="AG480" s="64"/>
      <c r="AH480" s="64"/>
      <c r="AI480" s="64"/>
      <c r="AJ480" s="64"/>
      <c r="AK480" s="64"/>
      <c r="AL480" s="64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</row>
    <row r="481" ht="16.5" customHeight="1">
      <c r="A481" s="62"/>
      <c r="B481" s="62"/>
      <c r="C481" s="62"/>
      <c r="D481" s="62"/>
      <c r="E481" s="62"/>
      <c r="F481" s="63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4"/>
      <c r="AG481" s="64"/>
      <c r="AH481" s="64"/>
      <c r="AI481" s="64"/>
      <c r="AJ481" s="64"/>
      <c r="AK481" s="64"/>
      <c r="AL481" s="64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</row>
    <row r="482" ht="16.5" customHeight="1">
      <c r="A482" s="62"/>
      <c r="B482" s="62"/>
      <c r="C482" s="62"/>
      <c r="D482" s="62"/>
      <c r="E482" s="62"/>
      <c r="F482" s="63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4"/>
      <c r="AG482" s="64"/>
      <c r="AH482" s="64"/>
      <c r="AI482" s="64"/>
      <c r="AJ482" s="64"/>
      <c r="AK482" s="64"/>
      <c r="AL482" s="64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</row>
    <row r="483" ht="16.5" customHeight="1">
      <c r="A483" s="62"/>
      <c r="B483" s="62"/>
      <c r="C483" s="62"/>
      <c r="D483" s="62"/>
      <c r="E483" s="62"/>
      <c r="F483" s="63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4"/>
      <c r="AG483" s="64"/>
      <c r="AH483" s="64"/>
      <c r="AI483" s="64"/>
      <c r="AJ483" s="64"/>
      <c r="AK483" s="64"/>
      <c r="AL483" s="64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</row>
    <row r="484" ht="16.5" customHeight="1">
      <c r="A484" s="62"/>
      <c r="B484" s="62"/>
      <c r="C484" s="62"/>
      <c r="D484" s="62"/>
      <c r="E484" s="62"/>
      <c r="F484" s="63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4"/>
      <c r="AG484" s="64"/>
      <c r="AH484" s="64"/>
      <c r="AI484" s="64"/>
      <c r="AJ484" s="64"/>
      <c r="AK484" s="64"/>
      <c r="AL484" s="64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</row>
    <row r="485" ht="16.5" customHeight="1">
      <c r="A485" s="62"/>
      <c r="B485" s="62"/>
      <c r="C485" s="62"/>
      <c r="D485" s="62"/>
      <c r="E485" s="62"/>
      <c r="F485" s="63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4"/>
      <c r="AG485" s="64"/>
      <c r="AH485" s="64"/>
      <c r="AI485" s="64"/>
      <c r="AJ485" s="64"/>
      <c r="AK485" s="64"/>
      <c r="AL485" s="64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</row>
    <row r="486" ht="16.5" customHeight="1">
      <c r="A486" s="62"/>
      <c r="B486" s="62"/>
      <c r="C486" s="62"/>
      <c r="D486" s="62"/>
      <c r="E486" s="62"/>
      <c r="F486" s="63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4"/>
      <c r="AG486" s="64"/>
      <c r="AH486" s="64"/>
      <c r="AI486" s="64"/>
      <c r="AJ486" s="64"/>
      <c r="AK486" s="64"/>
      <c r="AL486" s="64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</row>
    <row r="487" ht="16.5" customHeight="1">
      <c r="A487" s="62"/>
      <c r="B487" s="62"/>
      <c r="C487" s="62"/>
      <c r="D487" s="62"/>
      <c r="E487" s="62"/>
      <c r="F487" s="63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4"/>
      <c r="AG487" s="64"/>
      <c r="AH487" s="64"/>
      <c r="AI487" s="64"/>
      <c r="AJ487" s="64"/>
      <c r="AK487" s="64"/>
      <c r="AL487" s="64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</row>
    <row r="488" ht="16.5" customHeight="1">
      <c r="A488" s="62"/>
      <c r="B488" s="62"/>
      <c r="C488" s="62"/>
      <c r="D488" s="62"/>
      <c r="E488" s="62"/>
      <c r="F488" s="63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4"/>
      <c r="AG488" s="64"/>
      <c r="AH488" s="64"/>
      <c r="AI488" s="64"/>
      <c r="AJ488" s="64"/>
      <c r="AK488" s="64"/>
      <c r="AL488" s="64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</row>
    <row r="489" ht="16.5" customHeight="1">
      <c r="A489" s="62"/>
      <c r="B489" s="62"/>
      <c r="C489" s="62"/>
      <c r="D489" s="62"/>
      <c r="E489" s="62"/>
      <c r="F489" s="63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4"/>
      <c r="AG489" s="64"/>
      <c r="AH489" s="64"/>
      <c r="AI489" s="64"/>
      <c r="AJ489" s="64"/>
      <c r="AK489" s="64"/>
      <c r="AL489" s="64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</row>
    <row r="490" ht="16.5" customHeight="1">
      <c r="A490" s="62"/>
      <c r="B490" s="62"/>
      <c r="C490" s="62"/>
      <c r="D490" s="62"/>
      <c r="E490" s="62"/>
      <c r="F490" s="63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4"/>
      <c r="AG490" s="64"/>
      <c r="AH490" s="64"/>
      <c r="AI490" s="64"/>
      <c r="AJ490" s="64"/>
      <c r="AK490" s="64"/>
      <c r="AL490" s="64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</row>
    <row r="491" ht="16.5" customHeight="1">
      <c r="A491" s="62"/>
      <c r="B491" s="62"/>
      <c r="C491" s="62"/>
      <c r="D491" s="62"/>
      <c r="E491" s="62"/>
      <c r="F491" s="63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4"/>
      <c r="AG491" s="64"/>
      <c r="AH491" s="64"/>
      <c r="AI491" s="64"/>
      <c r="AJ491" s="64"/>
      <c r="AK491" s="64"/>
      <c r="AL491" s="64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</row>
    <row r="492" ht="16.5" customHeight="1">
      <c r="A492" s="62"/>
      <c r="B492" s="62"/>
      <c r="C492" s="62"/>
      <c r="D492" s="62"/>
      <c r="E492" s="62"/>
      <c r="F492" s="63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4"/>
      <c r="AG492" s="64"/>
      <c r="AH492" s="64"/>
      <c r="AI492" s="64"/>
      <c r="AJ492" s="64"/>
      <c r="AK492" s="64"/>
      <c r="AL492" s="64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</row>
    <row r="493" ht="16.5" customHeight="1">
      <c r="A493" s="62"/>
      <c r="B493" s="62"/>
      <c r="C493" s="62"/>
      <c r="D493" s="62"/>
      <c r="E493" s="62"/>
      <c r="F493" s="63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4"/>
      <c r="AG493" s="64"/>
      <c r="AH493" s="64"/>
      <c r="AI493" s="64"/>
      <c r="AJ493" s="64"/>
      <c r="AK493" s="64"/>
      <c r="AL493" s="64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</row>
    <row r="494" ht="16.5" customHeight="1">
      <c r="A494" s="62"/>
      <c r="B494" s="62"/>
      <c r="C494" s="62"/>
      <c r="D494" s="62"/>
      <c r="E494" s="62"/>
      <c r="F494" s="63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4"/>
      <c r="AG494" s="64"/>
      <c r="AH494" s="64"/>
      <c r="AI494" s="64"/>
      <c r="AJ494" s="64"/>
      <c r="AK494" s="64"/>
      <c r="AL494" s="64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</row>
    <row r="495" ht="16.5" customHeight="1">
      <c r="A495" s="62"/>
      <c r="B495" s="62"/>
      <c r="C495" s="62"/>
      <c r="D495" s="62"/>
      <c r="E495" s="62"/>
      <c r="F495" s="63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4"/>
      <c r="AG495" s="64"/>
      <c r="AH495" s="64"/>
      <c r="AI495" s="64"/>
      <c r="AJ495" s="64"/>
      <c r="AK495" s="64"/>
      <c r="AL495" s="64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</row>
    <row r="496" ht="16.5" customHeight="1">
      <c r="A496" s="62"/>
      <c r="B496" s="62"/>
      <c r="C496" s="62"/>
      <c r="D496" s="62"/>
      <c r="E496" s="62"/>
      <c r="F496" s="63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4"/>
      <c r="AG496" s="64"/>
      <c r="AH496" s="64"/>
      <c r="AI496" s="64"/>
      <c r="AJ496" s="64"/>
      <c r="AK496" s="64"/>
      <c r="AL496" s="64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</row>
    <row r="497" ht="16.5" customHeight="1">
      <c r="A497" s="62"/>
      <c r="B497" s="62"/>
      <c r="C497" s="62"/>
      <c r="D497" s="62"/>
      <c r="E497" s="62"/>
      <c r="F497" s="63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4"/>
      <c r="AG497" s="64"/>
      <c r="AH497" s="64"/>
      <c r="AI497" s="64"/>
      <c r="AJ497" s="64"/>
      <c r="AK497" s="64"/>
      <c r="AL497" s="64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</row>
    <row r="498" ht="16.5" customHeight="1">
      <c r="A498" s="62"/>
      <c r="B498" s="62"/>
      <c r="C498" s="62"/>
      <c r="D498" s="62"/>
      <c r="E498" s="62"/>
      <c r="F498" s="63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4"/>
      <c r="AG498" s="64"/>
      <c r="AH498" s="64"/>
      <c r="AI498" s="64"/>
      <c r="AJ498" s="64"/>
      <c r="AK498" s="64"/>
      <c r="AL498" s="64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</row>
    <row r="499" ht="16.5" customHeight="1">
      <c r="A499" s="62"/>
      <c r="B499" s="62"/>
      <c r="C499" s="62"/>
      <c r="D499" s="62"/>
      <c r="E499" s="62"/>
      <c r="F499" s="63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4"/>
      <c r="AG499" s="64"/>
      <c r="AH499" s="64"/>
      <c r="AI499" s="64"/>
      <c r="AJ499" s="64"/>
      <c r="AK499" s="64"/>
      <c r="AL499" s="64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</row>
    <row r="500" ht="16.5" customHeight="1">
      <c r="A500" s="62"/>
      <c r="B500" s="62"/>
      <c r="C500" s="62"/>
      <c r="D500" s="62"/>
      <c r="E500" s="62"/>
      <c r="F500" s="63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4"/>
      <c r="AG500" s="64"/>
      <c r="AH500" s="64"/>
      <c r="AI500" s="64"/>
      <c r="AJ500" s="64"/>
      <c r="AK500" s="64"/>
      <c r="AL500" s="64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</row>
    <row r="501" ht="16.5" customHeight="1">
      <c r="A501" s="62"/>
      <c r="B501" s="62"/>
      <c r="C501" s="62"/>
      <c r="D501" s="62"/>
      <c r="E501" s="62"/>
      <c r="F501" s="63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4"/>
      <c r="AG501" s="64"/>
      <c r="AH501" s="64"/>
      <c r="AI501" s="64"/>
      <c r="AJ501" s="64"/>
      <c r="AK501" s="64"/>
      <c r="AL501" s="64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</row>
    <row r="502" ht="16.5" customHeight="1">
      <c r="A502" s="62"/>
      <c r="B502" s="62"/>
      <c r="C502" s="62"/>
      <c r="D502" s="62"/>
      <c r="E502" s="62"/>
      <c r="F502" s="63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4"/>
      <c r="AG502" s="64"/>
      <c r="AH502" s="64"/>
      <c r="AI502" s="64"/>
      <c r="AJ502" s="64"/>
      <c r="AK502" s="64"/>
      <c r="AL502" s="64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</row>
    <row r="503" ht="16.5" customHeight="1">
      <c r="A503" s="62"/>
      <c r="B503" s="62"/>
      <c r="C503" s="62"/>
      <c r="D503" s="62"/>
      <c r="E503" s="62"/>
      <c r="F503" s="63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4"/>
      <c r="AG503" s="64"/>
      <c r="AH503" s="64"/>
      <c r="AI503" s="64"/>
      <c r="AJ503" s="64"/>
      <c r="AK503" s="64"/>
      <c r="AL503" s="64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</row>
    <row r="504" ht="16.5" customHeight="1">
      <c r="A504" s="62"/>
      <c r="B504" s="62"/>
      <c r="C504" s="62"/>
      <c r="D504" s="62"/>
      <c r="E504" s="62"/>
      <c r="F504" s="63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4"/>
      <c r="AG504" s="64"/>
      <c r="AH504" s="64"/>
      <c r="AI504" s="64"/>
      <c r="AJ504" s="64"/>
      <c r="AK504" s="64"/>
      <c r="AL504" s="64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</row>
    <row r="505" ht="16.5" customHeight="1">
      <c r="A505" s="62"/>
      <c r="B505" s="62"/>
      <c r="C505" s="62"/>
      <c r="D505" s="62"/>
      <c r="E505" s="62"/>
      <c r="F505" s="63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4"/>
      <c r="AG505" s="64"/>
      <c r="AH505" s="64"/>
      <c r="AI505" s="64"/>
      <c r="AJ505" s="64"/>
      <c r="AK505" s="64"/>
      <c r="AL505" s="64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</row>
    <row r="506" ht="16.5" customHeight="1">
      <c r="A506" s="62"/>
      <c r="B506" s="62"/>
      <c r="C506" s="62"/>
      <c r="D506" s="62"/>
      <c r="E506" s="62"/>
      <c r="F506" s="63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4"/>
      <c r="AG506" s="64"/>
      <c r="AH506" s="64"/>
      <c r="AI506" s="64"/>
      <c r="AJ506" s="64"/>
      <c r="AK506" s="64"/>
      <c r="AL506" s="64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</row>
    <row r="507" ht="16.5" customHeight="1">
      <c r="A507" s="62"/>
      <c r="B507" s="62"/>
      <c r="C507" s="62"/>
      <c r="D507" s="62"/>
      <c r="E507" s="62"/>
      <c r="F507" s="63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4"/>
      <c r="AG507" s="64"/>
      <c r="AH507" s="64"/>
      <c r="AI507" s="64"/>
      <c r="AJ507" s="64"/>
      <c r="AK507" s="64"/>
      <c r="AL507" s="64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</row>
    <row r="508" ht="16.5" customHeight="1">
      <c r="A508" s="62"/>
      <c r="B508" s="62"/>
      <c r="C508" s="62"/>
      <c r="D508" s="62"/>
      <c r="E508" s="62"/>
      <c r="F508" s="63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4"/>
      <c r="AG508" s="64"/>
      <c r="AH508" s="64"/>
      <c r="AI508" s="64"/>
      <c r="AJ508" s="64"/>
      <c r="AK508" s="64"/>
      <c r="AL508" s="64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</row>
    <row r="509" ht="16.5" customHeight="1">
      <c r="A509" s="62"/>
      <c r="B509" s="62"/>
      <c r="C509" s="62"/>
      <c r="D509" s="62"/>
      <c r="E509" s="62"/>
      <c r="F509" s="63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4"/>
      <c r="AG509" s="64"/>
      <c r="AH509" s="64"/>
      <c r="AI509" s="64"/>
      <c r="AJ509" s="64"/>
      <c r="AK509" s="64"/>
      <c r="AL509" s="64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</row>
    <row r="510" ht="16.5" customHeight="1">
      <c r="A510" s="62"/>
      <c r="B510" s="62"/>
      <c r="C510" s="62"/>
      <c r="D510" s="62"/>
      <c r="E510" s="62"/>
      <c r="F510" s="63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4"/>
      <c r="AG510" s="64"/>
      <c r="AH510" s="64"/>
      <c r="AI510" s="64"/>
      <c r="AJ510" s="64"/>
      <c r="AK510" s="64"/>
      <c r="AL510" s="64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</row>
    <row r="511" ht="16.5" customHeight="1">
      <c r="A511" s="62"/>
      <c r="B511" s="62"/>
      <c r="C511" s="62"/>
      <c r="D511" s="62"/>
      <c r="E511" s="62"/>
      <c r="F511" s="63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4"/>
      <c r="AG511" s="64"/>
      <c r="AH511" s="64"/>
      <c r="AI511" s="64"/>
      <c r="AJ511" s="64"/>
      <c r="AK511" s="64"/>
      <c r="AL511" s="64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</row>
    <row r="512" ht="16.5" customHeight="1">
      <c r="A512" s="62"/>
      <c r="B512" s="62"/>
      <c r="C512" s="62"/>
      <c r="D512" s="62"/>
      <c r="E512" s="62"/>
      <c r="F512" s="63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4"/>
      <c r="AG512" s="64"/>
      <c r="AH512" s="64"/>
      <c r="AI512" s="64"/>
      <c r="AJ512" s="64"/>
      <c r="AK512" s="64"/>
      <c r="AL512" s="64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</row>
    <row r="513" ht="16.5" customHeight="1">
      <c r="A513" s="62"/>
      <c r="B513" s="62"/>
      <c r="C513" s="62"/>
      <c r="D513" s="62"/>
      <c r="E513" s="62"/>
      <c r="F513" s="63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4"/>
      <c r="AG513" s="64"/>
      <c r="AH513" s="64"/>
      <c r="AI513" s="64"/>
      <c r="AJ513" s="64"/>
      <c r="AK513" s="64"/>
      <c r="AL513" s="64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</row>
    <row r="514" ht="16.5" customHeight="1">
      <c r="A514" s="62"/>
      <c r="B514" s="62"/>
      <c r="C514" s="62"/>
      <c r="D514" s="62"/>
      <c r="E514" s="62"/>
      <c r="F514" s="63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4"/>
      <c r="AG514" s="64"/>
      <c r="AH514" s="64"/>
      <c r="AI514" s="64"/>
      <c r="AJ514" s="64"/>
      <c r="AK514" s="64"/>
      <c r="AL514" s="64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</row>
    <row r="515" ht="16.5" customHeight="1">
      <c r="A515" s="62"/>
      <c r="B515" s="62"/>
      <c r="C515" s="62"/>
      <c r="D515" s="62"/>
      <c r="E515" s="62"/>
      <c r="F515" s="63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4"/>
      <c r="AG515" s="64"/>
      <c r="AH515" s="64"/>
      <c r="AI515" s="64"/>
      <c r="AJ515" s="64"/>
      <c r="AK515" s="64"/>
      <c r="AL515" s="64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</row>
    <row r="516" ht="16.5" customHeight="1">
      <c r="A516" s="62"/>
      <c r="B516" s="62"/>
      <c r="C516" s="62"/>
      <c r="D516" s="62"/>
      <c r="E516" s="62"/>
      <c r="F516" s="63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4"/>
      <c r="AG516" s="64"/>
      <c r="AH516" s="64"/>
      <c r="AI516" s="64"/>
      <c r="AJ516" s="64"/>
      <c r="AK516" s="64"/>
      <c r="AL516" s="64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</row>
    <row r="517" ht="16.5" customHeight="1">
      <c r="A517" s="62"/>
      <c r="B517" s="62"/>
      <c r="C517" s="62"/>
      <c r="D517" s="62"/>
      <c r="E517" s="62"/>
      <c r="F517" s="63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4"/>
      <c r="AG517" s="64"/>
      <c r="AH517" s="64"/>
      <c r="AI517" s="64"/>
      <c r="AJ517" s="64"/>
      <c r="AK517" s="64"/>
      <c r="AL517" s="64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</row>
    <row r="518" ht="16.5" customHeight="1">
      <c r="A518" s="62"/>
      <c r="B518" s="62"/>
      <c r="C518" s="62"/>
      <c r="D518" s="62"/>
      <c r="E518" s="62"/>
      <c r="F518" s="63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4"/>
      <c r="AG518" s="64"/>
      <c r="AH518" s="64"/>
      <c r="AI518" s="64"/>
      <c r="AJ518" s="64"/>
      <c r="AK518" s="64"/>
      <c r="AL518" s="64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</row>
    <row r="519" ht="16.5" customHeight="1">
      <c r="A519" s="62"/>
      <c r="B519" s="62"/>
      <c r="C519" s="62"/>
      <c r="D519" s="62"/>
      <c r="E519" s="62"/>
      <c r="F519" s="63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4"/>
      <c r="AG519" s="64"/>
      <c r="AH519" s="64"/>
      <c r="AI519" s="64"/>
      <c r="AJ519" s="64"/>
      <c r="AK519" s="64"/>
      <c r="AL519" s="64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</row>
    <row r="520" ht="16.5" customHeight="1">
      <c r="A520" s="62"/>
      <c r="B520" s="62"/>
      <c r="C520" s="62"/>
      <c r="D520" s="62"/>
      <c r="E520" s="62"/>
      <c r="F520" s="63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4"/>
      <c r="AG520" s="64"/>
      <c r="AH520" s="64"/>
      <c r="AI520" s="64"/>
      <c r="AJ520" s="64"/>
      <c r="AK520" s="64"/>
      <c r="AL520" s="64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</row>
    <row r="521" ht="16.5" customHeight="1">
      <c r="A521" s="62"/>
      <c r="B521" s="62"/>
      <c r="C521" s="62"/>
      <c r="D521" s="62"/>
      <c r="E521" s="62"/>
      <c r="F521" s="63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4"/>
      <c r="AG521" s="64"/>
      <c r="AH521" s="64"/>
      <c r="AI521" s="64"/>
      <c r="AJ521" s="64"/>
      <c r="AK521" s="64"/>
      <c r="AL521" s="64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</row>
    <row r="522" ht="16.5" customHeight="1">
      <c r="A522" s="62"/>
      <c r="B522" s="62"/>
      <c r="C522" s="62"/>
      <c r="D522" s="62"/>
      <c r="E522" s="62"/>
      <c r="F522" s="63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4"/>
      <c r="AG522" s="64"/>
      <c r="AH522" s="64"/>
      <c r="AI522" s="64"/>
      <c r="AJ522" s="64"/>
      <c r="AK522" s="64"/>
      <c r="AL522" s="64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</row>
    <row r="523" ht="16.5" customHeight="1">
      <c r="A523" s="62"/>
      <c r="B523" s="62"/>
      <c r="C523" s="62"/>
      <c r="D523" s="62"/>
      <c r="E523" s="62"/>
      <c r="F523" s="63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4"/>
      <c r="AG523" s="64"/>
      <c r="AH523" s="64"/>
      <c r="AI523" s="64"/>
      <c r="AJ523" s="64"/>
      <c r="AK523" s="64"/>
      <c r="AL523" s="64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</row>
    <row r="524" ht="16.5" customHeight="1">
      <c r="A524" s="62"/>
      <c r="B524" s="62"/>
      <c r="C524" s="62"/>
      <c r="D524" s="62"/>
      <c r="E524" s="62"/>
      <c r="F524" s="63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4"/>
      <c r="AG524" s="64"/>
      <c r="AH524" s="64"/>
      <c r="AI524" s="64"/>
      <c r="AJ524" s="64"/>
      <c r="AK524" s="64"/>
      <c r="AL524" s="64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</row>
    <row r="525" ht="16.5" customHeight="1">
      <c r="A525" s="62"/>
      <c r="B525" s="62"/>
      <c r="C525" s="62"/>
      <c r="D525" s="62"/>
      <c r="E525" s="62"/>
      <c r="F525" s="63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4"/>
      <c r="AG525" s="64"/>
      <c r="AH525" s="64"/>
      <c r="AI525" s="64"/>
      <c r="AJ525" s="64"/>
      <c r="AK525" s="64"/>
      <c r="AL525" s="64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</row>
    <row r="526" ht="16.5" customHeight="1">
      <c r="A526" s="62"/>
      <c r="B526" s="62"/>
      <c r="C526" s="62"/>
      <c r="D526" s="62"/>
      <c r="E526" s="62"/>
      <c r="F526" s="63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4"/>
      <c r="AG526" s="64"/>
      <c r="AH526" s="64"/>
      <c r="AI526" s="64"/>
      <c r="AJ526" s="64"/>
      <c r="AK526" s="64"/>
      <c r="AL526" s="64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</row>
    <row r="527" ht="16.5" customHeight="1">
      <c r="A527" s="62"/>
      <c r="B527" s="62"/>
      <c r="C527" s="62"/>
      <c r="D527" s="62"/>
      <c r="E527" s="62"/>
      <c r="F527" s="63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4"/>
      <c r="AG527" s="64"/>
      <c r="AH527" s="64"/>
      <c r="AI527" s="64"/>
      <c r="AJ527" s="64"/>
      <c r="AK527" s="64"/>
      <c r="AL527" s="64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</row>
    <row r="528" ht="16.5" customHeight="1">
      <c r="A528" s="62"/>
      <c r="B528" s="62"/>
      <c r="C528" s="62"/>
      <c r="D528" s="62"/>
      <c r="E528" s="62"/>
      <c r="F528" s="63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4"/>
      <c r="AG528" s="64"/>
      <c r="AH528" s="64"/>
      <c r="AI528" s="64"/>
      <c r="AJ528" s="64"/>
      <c r="AK528" s="64"/>
      <c r="AL528" s="64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</row>
    <row r="529" ht="16.5" customHeight="1">
      <c r="A529" s="62"/>
      <c r="B529" s="62"/>
      <c r="C529" s="62"/>
      <c r="D529" s="62"/>
      <c r="E529" s="62"/>
      <c r="F529" s="63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4"/>
      <c r="AG529" s="64"/>
      <c r="AH529" s="64"/>
      <c r="AI529" s="64"/>
      <c r="AJ529" s="64"/>
      <c r="AK529" s="64"/>
      <c r="AL529" s="64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</row>
    <row r="530" ht="16.5" customHeight="1">
      <c r="A530" s="62"/>
      <c r="B530" s="62"/>
      <c r="C530" s="62"/>
      <c r="D530" s="62"/>
      <c r="E530" s="62"/>
      <c r="F530" s="63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4"/>
      <c r="AG530" s="64"/>
      <c r="AH530" s="64"/>
      <c r="AI530" s="64"/>
      <c r="AJ530" s="64"/>
      <c r="AK530" s="64"/>
      <c r="AL530" s="64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</row>
    <row r="531" ht="16.5" customHeight="1">
      <c r="A531" s="62"/>
      <c r="B531" s="62"/>
      <c r="C531" s="62"/>
      <c r="D531" s="62"/>
      <c r="E531" s="62"/>
      <c r="F531" s="63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4"/>
      <c r="AG531" s="64"/>
      <c r="AH531" s="64"/>
      <c r="AI531" s="64"/>
      <c r="AJ531" s="64"/>
      <c r="AK531" s="64"/>
      <c r="AL531" s="64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</row>
    <row r="532" ht="16.5" customHeight="1">
      <c r="A532" s="62"/>
      <c r="B532" s="62"/>
      <c r="C532" s="62"/>
      <c r="D532" s="62"/>
      <c r="E532" s="62"/>
      <c r="F532" s="63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4"/>
      <c r="AG532" s="64"/>
      <c r="AH532" s="64"/>
      <c r="AI532" s="64"/>
      <c r="AJ532" s="64"/>
      <c r="AK532" s="64"/>
      <c r="AL532" s="64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</row>
    <row r="533" ht="16.5" customHeight="1">
      <c r="A533" s="62"/>
      <c r="B533" s="62"/>
      <c r="C533" s="62"/>
      <c r="D533" s="62"/>
      <c r="E533" s="62"/>
      <c r="F533" s="63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4"/>
      <c r="AG533" s="64"/>
      <c r="AH533" s="64"/>
      <c r="AI533" s="64"/>
      <c r="AJ533" s="64"/>
      <c r="AK533" s="64"/>
      <c r="AL533" s="64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</row>
    <row r="534" ht="16.5" customHeight="1">
      <c r="A534" s="62"/>
      <c r="B534" s="62"/>
      <c r="C534" s="62"/>
      <c r="D534" s="62"/>
      <c r="E534" s="62"/>
      <c r="F534" s="63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4"/>
      <c r="AG534" s="64"/>
      <c r="AH534" s="64"/>
      <c r="AI534" s="64"/>
      <c r="AJ534" s="64"/>
      <c r="AK534" s="64"/>
      <c r="AL534" s="64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</row>
    <row r="535" ht="16.5" customHeight="1">
      <c r="A535" s="62"/>
      <c r="B535" s="62"/>
      <c r="C535" s="62"/>
      <c r="D535" s="62"/>
      <c r="E535" s="62"/>
      <c r="F535" s="63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4"/>
      <c r="AG535" s="64"/>
      <c r="AH535" s="64"/>
      <c r="AI535" s="64"/>
      <c r="AJ535" s="64"/>
      <c r="AK535" s="64"/>
      <c r="AL535" s="64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</row>
    <row r="536" ht="16.5" customHeight="1">
      <c r="A536" s="62"/>
      <c r="B536" s="62"/>
      <c r="C536" s="62"/>
      <c r="D536" s="62"/>
      <c r="E536" s="62"/>
      <c r="F536" s="63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4"/>
      <c r="AG536" s="64"/>
      <c r="AH536" s="64"/>
      <c r="AI536" s="64"/>
      <c r="AJ536" s="64"/>
      <c r="AK536" s="64"/>
      <c r="AL536" s="64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</row>
    <row r="537" ht="16.5" customHeight="1">
      <c r="A537" s="62"/>
      <c r="B537" s="62"/>
      <c r="C537" s="62"/>
      <c r="D537" s="62"/>
      <c r="E537" s="62"/>
      <c r="F537" s="63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4"/>
      <c r="AG537" s="64"/>
      <c r="AH537" s="64"/>
      <c r="AI537" s="64"/>
      <c r="AJ537" s="64"/>
      <c r="AK537" s="64"/>
      <c r="AL537" s="64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</row>
    <row r="538" ht="16.5" customHeight="1">
      <c r="A538" s="62"/>
      <c r="B538" s="62"/>
      <c r="C538" s="62"/>
      <c r="D538" s="62"/>
      <c r="E538" s="62"/>
      <c r="F538" s="63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4"/>
      <c r="AG538" s="64"/>
      <c r="AH538" s="64"/>
      <c r="AI538" s="64"/>
      <c r="AJ538" s="64"/>
      <c r="AK538" s="64"/>
      <c r="AL538" s="64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</row>
    <row r="539" ht="16.5" customHeight="1">
      <c r="A539" s="62"/>
      <c r="B539" s="62"/>
      <c r="C539" s="62"/>
      <c r="D539" s="62"/>
      <c r="E539" s="62"/>
      <c r="F539" s="63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4"/>
      <c r="AG539" s="64"/>
      <c r="AH539" s="64"/>
      <c r="AI539" s="64"/>
      <c r="AJ539" s="64"/>
      <c r="AK539" s="64"/>
      <c r="AL539" s="64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</row>
    <row r="540" ht="16.5" customHeight="1">
      <c r="A540" s="62"/>
      <c r="B540" s="62"/>
      <c r="C540" s="62"/>
      <c r="D540" s="62"/>
      <c r="E540" s="62"/>
      <c r="F540" s="63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4"/>
      <c r="AG540" s="64"/>
      <c r="AH540" s="64"/>
      <c r="AI540" s="64"/>
      <c r="AJ540" s="64"/>
      <c r="AK540" s="64"/>
      <c r="AL540" s="64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</row>
    <row r="541" ht="16.5" customHeight="1">
      <c r="A541" s="62"/>
      <c r="B541" s="62"/>
      <c r="C541" s="62"/>
      <c r="D541" s="62"/>
      <c r="E541" s="62"/>
      <c r="F541" s="63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4"/>
      <c r="AG541" s="64"/>
      <c r="AH541" s="64"/>
      <c r="AI541" s="64"/>
      <c r="AJ541" s="64"/>
      <c r="AK541" s="64"/>
      <c r="AL541" s="64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</row>
    <row r="542" ht="16.5" customHeight="1">
      <c r="A542" s="62"/>
      <c r="B542" s="62"/>
      <c r="C542" s="62"/>
      <c r="D542" s="62"/>
      <c r="E542" s="62"/>
      <c r="F542" s="63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4"/>
      <c r="AG542" s="64"/>
      <c r="AH542" s="64"/>
      <c r="AI542" s="64"/>
      <c r="AJ542" s="64"/>
      <c r="AK542" s="64"/>
      <c r="AL542" s="64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</row>
    <row r="543" ht="16.5" customHeight="1">
      <c r="A543" s="62"/>
      <c r="B543" s="62"/>
      <c r="C543" s="62"/>
      <c r="D543" s="62"/>
      <c r="E543" s="62"/>
      <c r="F543" s="63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4"/>
      <c r="AG543" s="64"/>
      <c r="AH543" s="64"/>
      <c r="AI543" s="64"/>
      <c r="AJ543" s="64"/>
      <c r="AK543" s="64"/>
      <c r="AL543" s="64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</row>
    <row r="544" ht="16.5" customHeight="1">
      <c r="A544" s="62"/>
      <c r="B544" s="62"/>
      <c r="C544" s="62"/>
      <c r="D544" s="62"/>
      <c r="E544" s="62"/>
      <c r="F544" s="63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4"/>
      <c r="AG544" s="64"/>
      <c r="AH544" s="64"/>
      <c r="AI544" s="64"/>
      <c r="AJ544" s="64"/>
      <c r="AK544" s="64"/>
      <c r="AL544" s="64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</row>
    <row r="545" ht="16.5" customHeight="1">
      <c r="A545" s="62"/>
      <c r="B545" s="62"/>
      <c r="C545" s="62"/>
      <c r="D545" s="62"/>
      <c r="E545" s="62"/>
      <c r="F545" s="63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4"/>
      <c r="AG545" s="64"/>
      <c r="AH545" s="64"/>
      <c r="AI545" s="64"/>
      <c r="AJ545" s="64"/>
      <c r="AK545" s="64"/>
      <c r="AL545" s="64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</row>
    <row r="546" ht="16.5" customHeight="1">
      <c r="A546" s="62"/>
      <c r="B546" s="62"/>
      <c r="C546" s="62"/>
      <c r="D546" s="62"/>
      <c r="E546" s="62"/>
      <c r="F546" s="63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4"/>
      <c r="AG546" s="64"/>
      <c r="AH546" s="64"/>
      <c r="AI546" s="64"/>
      <c r="AJ546" s="64"/>
      <c r="AK546" s="64"/>
      <c r="AL546" s="64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</row>
    <row r="547" ht="16.5" customHeight="1">
      <c r="A547" s="62"/>
      <c r="B547" s="62"/>
      <c r="C547" s="62"/>
      <c r="D547" s="62"/>
      <c r="E547" s="62"/>
      <c r="F547" s="63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4"/>
      <c r="AG547" s="64"/>
      <c r="AH547" s="64"/>
      <c r="AI547" s="64"/>
      <c r="AJ547" s="64"/>
      <c r="AK547" s="64"/>
      <c r="AL547" s="64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</row>
    <row r="548" ht="16.5" customHeight="1">
      <c r="A548" s="62"/>
      <c r="B548" s="62"/>
      <c r="C548" s="62"/>
      <c r="D548" s="62"/>
      <c r="E548" s="62"/>
      <c r="F548" s="63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4"/>
      <c r="AG548" s="64"/>
      <c r="AH548" s="64"/>
      <c r="AI548" s="64"/>
      <c r="AJ548" s="64"/>
      <c r="AK548" s="64"/>
      <c r="AL548" s="64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</row>
    <row r="549" ht="16.5" customHeight="1">
      <c r="A549" s="62"/>
      <c r="B549" s="62"/>
      <c r="C549" s="62"/>
      <c r="D549" s="62"/>
      <c r="E549" s="62"/>
      <c r="F549" s="63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4"/>
      <c r="AG549" s="64"/>
      <c r="AH549" s="64"/>
      <c r="AI549" s="64"/>
      <c r="AJ549" s="64"/>
      <c r="AK549" s="64"/>
      <c r="AL549" s="64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</row>
    <row r="550" ht="16.5" customHeight="1">
      <c r="A550" s="62"/>
      <c r="B550" s="62"/>
      <c r="C550" s="62"/>
      <c r="D550" s="62"/>
      <c r="E550" s="62"/>
      <c r="F550" s="63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4"/>
      <c r="AG550" s="64"/>
      <c r="AH550" s="64"/>
      <c r="AI550" s="64"/>
      <c r="AJ550" s="64"/>
      <c r="AK550" s="64"/>
      <c r="AL550" s="64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</row>
    <row r="551" ht="16.5" customHeight="1">
      <c r="A551" s="62"/>
      <c r="B551" s="62"/>
      <c r="C551" s="62"/>
      <c r="D551" s="62"/>
      <c r="E551" s="62"/>
      <c r="F551" s="63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4"/>
      <c r="AG551" s="64"/>
      <c r="AH551" s="64"/>
      <c r="AI551" s="64"/>
      <c r="AJ551" s="64"/>
      <c r="AK551" s="64"/>
      <c r="AL551" s="64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</row>
    <row r="552" ht="16.5" customHeight="1">
      <c r="A552" s="62"/>
      <c r="B552" s="62"/>
      <c r="C552" s="62"/>
      <c r="D552" s="62"/>
      <c r="E552" s="62"/>
      <c r="F552" s="63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4"/>
      <c r="AG552" s="64"/>
      <c r="AH552" s="64"/>
      <c r="AI552" s="64"/>
      <c r="AJ552" s="64"/>
      <c r="AK552" s="64"/>
      <c r="AL552" s="64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</row>
    <row r="553" ht="16.5" customHeight="1">
      <c r="A553" s="62"/>
      <c r="B553" s="62"/>
      <c r="C553" s="62"/>
      <c r="D553" s="62"/>
      <c r="E553" s="62"/>
      <c r="F553" s="63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4"/>
      <c r="AG553" s="64"/>
      <c r="AH553" s="64"/>
      <c r="AI553" s="64"/>
      <c r="AJ553" s="64"/>
      <c r="AK553" s="64"/>
      <c r="AL553" s="64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</row>
    <row r="554" ht="16.5" customHeight="1">
      <c r="A554" s="62"/>
      <c r="B554" s="62"/>
      <c r="C554" s="62"/>
      <c r="D554" s="62"/>
      <c r="E554" s="62"/>
      <c r="F554" s="63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4"/>
      <c r="AG554" s="64"/>
      <c r="AH554" s="64"/>
      <c r="AI554" s="64"/>
      <c r="AJ554" s="64"/>
      <c r="AK554" s="64"/>
      <c r="AL554" s="64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</row>
    <row r="555" ht="16.5" customHeight="1">
      <c r="A555" s="62"/>
      <c r="B555" s="62"/>
      <c r="C555" s="62"/>
      <c r="D555" s="62"/>
      <c r="E555" s="62"/>
      <c r="F555" s="63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4"/>
      <c r="AG555" s="64"/>
      <c r="AH555" s="64"/>
      <c r="AI555" s="64"/>
      <c r="AJ555" s="64"/>
      <c r="AK555" s="64"/>
      <c r="AL555" s="64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</row>
    <row r="556" ht="16.5" customHeight="1">
      <c r="A556" s="62"/>
      <c r="B556" s="62"/>
      <c r="C556" s="62"/>
      <c r="D556" s="62"/>
      <c r="E556" s="62"/>
      <c r="F556" s="63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4"/>
      <c r="AG556" s="64"/>
      <c r="AH556" s="64"/>
      <c r="AI556" s="64"/>
      <c r="AJ556" s="64"/>
      <c r="AK556" s="64"/>
      <c r="AL556" s="64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</row>
    <row r="557" ht="16.5" customHeight="1">
      <c r="A557" s="62"/>
      <c r="B557" s="62"/>
      <c r="C557" s="62"/>
      <c r="D557" s="62"/>
      <c r="E557" s="62"/>
      <c r="F557" s="63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4"/>
      <c r="AG557" s="64"/>
      <c r="AH557" s="64"/>
      <c r="AI557" s="64"/>
      <c r="AJ557" s="64"/>
      <c r="AK557" s="64"/>
      <c r="AL557" s="64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</row>
    <row r="558" ht="16.5" customHeight="1">
      <c r="A558" s="62"/>
      <c r="B558" s="62"/>
      <c r="C558" s="62"/>
      <c r="D558" s="62"/>
      <c r="E558" s="62"/>
      <c r="F558" s="63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4"/>
      <c r="AG558" s="64"/>
      <c r="AH558" s="64"/>
      <c r="AI558" s="64"/>
      <c r="AJ558" s="64"/>
      <c r="AK558" s="64"/>
      <c r="AL558" s="64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</row>
    <row r="559" ht="16.5" customHeight="1">
      <c r="A559" s="62"/>
      <c r="B559" s="62"/>
      <c r="C559" s="62"/>
      <c r="D559" s="62"/>
      <c r="E559" s="62"/>
      <c r="F559" s="63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4"/>
      <c r="AG559" s="64"/>
      <c r="AH559" s="64"/>
      <c r="AI559" s="64"/>
      <c r="AJ559" s="64"/>
      <c r="AK559" s="64"/>
      <c r="AL559" s="64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</row>
    <row r="560" ht="16.5" customHeight="1">
      <c r="A560" s="62"/>
      <c r="B560" s="62"/>
      <c r="C560" s="62"/>
      <c r="D560" s="62"/>
      <c r="E560" s="62"/>
      <c r="F560" s="63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4"/>
      <c r="AG560" s="64"/>
      <c r="AH560" s="64"/>
      <c r="AI560" s="64"/>
      <c r="AJ560" s="64"/>
      <c r="AK560" s="64"/>
      <c r="AL560" s="64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</row>
    <row r="561" ht="16.5" customHeight="1">
      <c r="A561" s="62"/>
      <c r="B561" s="62"/>
      <c r="C561" s="62"/>
      <c r="D561" s="62"/>
      <c r="E561" s="62"/>
      <c r="F561" s="63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4"/>
      <c r="AG561" s="64"/>
      <c r="AH561" s="64"/>
      <c r="AI561" s="64"/>
      <c r="AJ561" s="64"/>
      <c r="AK561" s="64"/>
      <c r="AL561" s="64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</row>
    <row r="562" ht="16.5" customHeight="1">
      <c r="A562" s="62"/>
      <c r="B562" s="62"/>
      <c r="C562" s="62"/>
      <c r="D562" s="62"/>
      <c r="E562" s="62"/>
      <c r="F562" s="63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4"/>
      <c r="AG562" s="64"/>
      <c r="AH562" s="64"/>
      <c r="AI562" s="64"/>
      <c r="AJ562" s="64"/>
      <c r="AK562" s="64"/>
      <c r="AL562" s="64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</row>
    <row r="563" ht="16.5" customHeight="1">
      <c r="A563" s="62"/>
      <c r="B563" s="62"/>
      <c r="C563" s="62"/>
      <c r="D563" s="62"/>
      <c r="E563" s="62"/>
      <c r="F563" s="63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4"/>
      <c r="AG563" s="64"/>
      <c r="AH563" s="64"/>
      <c r="AI563" s="64"/>
      <c r="AJ563" s="64"/>
      <c r="AK563" s="64"/>
      <c r="AL563" s="64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</row>
    <row r="564" ht="16.5" customHeight="1">
      <c r="A564" s="62"/>
      <c r="B564" s="62"/>
      <c r="C564" s="62"/>
      <c r="D564" s="62"/>
      <c r="E564" s="62"/>
      <c r="F564" s="63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4"/>
      <c r="AG564" s="64"/>
      <c r="AH564" s="64"/>
      <c r="AI564" s="64"/>
      <c r="AJ564" s="64"/>
      <c r="AK564" s="64"/>
      <c r="AL564" s="64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</row>
    <row r="565" ht="16.5" customHeight="1">
      <c r="A565" s="62"/>
      <c r="B565" s="62"/>
      <c r="C565" s="62"/>
      <c r="D565" s="62"/>
      <c r="E565" s="62"/>
      <c r="F565" s="63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4"/>
      <c r="AG565" s="64"/>
      <c r="AH565" s="64"/>
      <c r="AI565" s="64"/>
      <c r="AJ565" s="64"/>
      <c r="AK565" s="64"/>
      <c r="AL565" s="64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</row>
    <row r="566" ht="16.5" customHeight="1">
      <c r="A566" s="62"/>
      <c r="B566" s="62"/>
      <c r="C566" s="62"/>
      <c r="D566" s="62"/>
      <c r="E566" s="62"/>
      <c r="F566" s="63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4"/>
      <c r="AG566" s="64"/>
      <c r="AH566" s="64"/>
      <c r="AI566" s="64"/>
      <c r="AJ566" s="64"/>
      <c r="AK566" s="64"/>
      <c r="AL566" s="64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</row>
    <row r="567" ht="16.5" customHeight="1">
      <c r="A567" s="62"/>
      <c r="B567" s="62"/>
      <c r="C567" s="62"/>
      <c r="D567" s="62"/>
      <c r="E567" s="62"/>
      <c r="F567" s="63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4"/>
      <c r="AG567" s="64"/>
      <c r="AH567" s="64"/>
      <c r="AI567" s="64"/>
      <c r="AJ567" s="64"/>
      <c r="AK567" s="64"/>
      <c r="AL567" s="64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</row>
    <row r="568" ht="16.5" customHeight="1">
      <c r="A568" s="62"/>
      <c r="B568" s="62"/>
      <c r="C568" s="62"/>
      <c r="D568" s="62"/>
      <c r="E568" s="62"/>
      <c r="F568" s="63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4"/>
      <c r="AG568" s="64"/>
      <c r="AH568" s="64"/>
      <c r="AI568" s="64"/>
      <c r="AJ568" s="64"/>
      <c r="AK568" s="64"/>
      <c r="AL568" s="64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</row>
    <row r="569" ht="16.5" customHeight="1">
      <c r="A569" s="62"/>
      <c r="B569" s="62"/>
      <c r="C569" s="62"/>
      <c r="D569" s="62"/>
      <c r="E569" s="62"/>
      <c r="F569" s="63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4"/>
      <c r="AG569" s="64"/>
      <c r="AH569" s="64"/>
      <c r="AI569" s="64"/>
      <c r="AJ569" s="64"/>
      <c r="AK569" s="64"/>
      <c r="AL569" s="64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</row>
    <row r="570" ht="16.5" customHeight="1">
      <c r="A570" s="62"/>
      <c r="B570" s="62"/>
      <c r="C570" s="62"/>
      <c r="D570" s="62"/>
      <c r="E570" s="62"/>
      <c r="F570" s="63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4"/>
      <c r="AG570" s="64"/>
      <c r="AH570" s="64"/>
      <c r="AI570" s="64"/>
      <c r="AJ570" s="64"/>
      <c r="AK570" s="64"/>
      <c r="AL570" s="64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</row>
    <row r="571" ht="16.5" customHeight="1">
      <c r="A571" s="62"/>
      <c r="B571" s="62"/>
      <c r="C571" s="62"/>
      <c r="D571" s="62"/>
      <c r="E571" s="62"/>
      <c r="F571" s="63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4"/>
      <c r="AG571" s="64"/>
      <c r="AH571" s="64"/>
      <c r="AI571" s="64"/>
      <c r="AJ571" s="64"/>
      <c r="AK571" s="64"/>
      <c r="AL571" s="64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</row>
    <row r="572" ht="16.5" customHeight="1">
      <c r="A572" s="62"/>
      <c r="B572" s="62"/>
      <c r="C572" s="62"/>
      <c r="D572" s="62"/>
      <c r="E572" s="62"/>
      <c r="F572" s="63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4"/>
      <c r="AG572" s="64"/>
      <c r="AH572" s="64"/>
      <c r="AI572" s="64"/>
      <c r="AJ572" s="64"/>
      <c r="AK572" s="64"/>
      <c r="AL572" s="64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</row>
    <row r="573" ht="16.5" customHeight="1">
      <c r="A573" s="62"/>
      <c r="B573" s="62"/>
      <c r="C573" s="62"/>
      <c r="D573" s="62"/>
      <c r="E573" s="62"/>
      <c r="F573" s="63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4"/>
      <c r="AG573" s="64"/>
      <c r="AH573" s="64"/>
      <c r="AI573" s="64"/>
      <c r="AJ573" s="64"/>
      <c r="AK573" s="64"/>
      <c r="AL573" s="64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</row>
    <row r="574" ht="16.5" customHeight="1">
      <c r="A574" s="62"/>
      <c r="B574" s="62"/>
      <c r="C574" s="62"/>
      <c r="D574" s="62"/>
      <c r="E574" s="62"/>
      <c r="F574" s="63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4"/>
      <c r="AG574" s="64"/>
      <c r="AH574" s="64"/>
      <c r="AI574" s="64"/>
      <c r="AJ574" s="64"/>
      <c r="AK574" s="64"/>
      <c r="AL574" s="64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</row>
    <row r="575" ht="16.5" customHeight="1">
      <c r="A575" s="62"/>
      <c r="B575" s="62"/>
      <c r="C575" s="62"/>
      <c r="D575" s="62"/>
      <c r="E575" s="62"/>
      <c r="F575" s="63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4"/>
      <c r="AG575" s="64"/>
      <c r="AH575" s="64"/>
      <c r="AI575" s="64"/>
      <c r="AJ575" s="64"/>
      <c r="AK575" s="64"/>
      <c r="AL575" s="64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</row>
    <row r="576" ht="16.5" customHeight="1">
      <c r="A576" s="62"/>
      <c r="B576" s="62"/>
      <c r="C576" s="62"/>
      <c r="D576" s="62"/>
      <c r="E576" s="62"/>
      <c r="F576" s="63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4"/>
      <c r="AG576" s="64"/>
      <c r="AH576" s="64"/>
      <c r="AI576" s="64"/>
      <c r="AJ576" s="64"/>
      <c r="AK576" s="64"/>
      <c r="AL576" s="64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</row>
    <row r="577" ht="16.5" customHeight="1">
      <c r="A577" s="62"/>
      <c r="B577" s="62"/>
      <c r="C577" s="62"/>
      <c r="D577" s="62"/>
      <c r="E577" s="62"/>
      <c r="F577" s="63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4"/>
      <c r="AG577" s="64"/>
      <c r="AH577" s="64"/>
      <c r="AI577" s="64"/>
      <c r="AJ577" s="64"/>
      <c r="AK577" s="64"/>
      <c r="AL577" s="64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</row>
    <row r="578" ht="16.5" customHeight="1">
      <c r="A578" s="62"/>
      <c r="B578" s="62"/>
      <c r="C578" s="62"/>
      <c r="D578" s="62"/>
      <c r="E578" s="62"/>
      <c r="F578" s="63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4"/>
      <c r="AG578" s="64"/>
      <c r="AH578" s="64"/>
      <c r="AI578" s="64"/>
      <c r="AJ578" s="64"/>
      <c r="AK578" s="64"/>
      <c r="AL578" s="64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</row>
    <row r="579" ht="16.5" customHeight="1">
      <c r="A579" s="62"/>
      <c r="B579" s="62"/>
      <c r="C579" s="62"/>
      <c r="D579" s="62"/>
      <c r="E579" s="62"/>
      <c r="F579" s="63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4"/>
      <c r="AG579" s="64"/>
      <c r="AH579" s="64"/>
      <c r="AI579" s="64"/>
      <c r="AJ579" s="64"/>
      <c r="AK579" s="64"/>
      <c r="AL579" s="64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</row>
    <row r="580" ht="16.5" customHeight="1">
      <c r="A580" s="62"/>
      <c r="B580" s="62"/>
      <c r="C580" s="62"/>
      <c r="D580" s="62"/>
      <c r="E580" s="62"/>
      <c r="F580" s="63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4"/>
      <c r="AG580" s="64"/>
      <c r="AH580" s="64"/>
      <c r="AI580" s="64"/>
      <c r="AJ580" s="64"/>
      <c r="AK580" s="64"/>
      <c r="AL580" s="64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</row>
    <row r="581" ht="16.5" customHeight="1">
      <c r="A581" s="62"/>
      <c r="B581" s="62"/>
      <c r="C581" s="62"/>
      <c r="D581" s="62"/>
      <c r="E581" s="62"/>
      <c r="F581" s="63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4"/>
      <c r="AG581" s="64"/>
      <c r="AH581" s="64"/>
      <c r="AI581" s="64"/>
      <c r="AJ581" s="64"/>
      <c r="AK581" s="64"/>
      <c r="AL581" s="64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</row>
    <row r="582" ht="16.5" customHeight="1">
      <c r="A582" s="62"/>
      <c r="B582" s="62"/>
      <c r="C582" s="62"/>
      <c r="D582" s="62"/>
      <c r="E582" s="62"/>
      <c r="F582" s="63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4"/>
      <c r="AG582" s="64"/>
      <c r="AH582" s="64"/>
      <c r="AI582" s="64"/>
      <c r="AJ582" s="64"/>
      <c r="AK582" s="64"/>
      <c r="AL582" s="64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</row>
    <row r="583" ht="16.5" customHeight="1">
      <c r="A583" s="62"/>
      <c r="B583" s="62"/>
      <c r="C583" s="62"/>
      <c r="D583" s="62"/>
      <c r="E583" s="62"/>
      <c r="F583" s="63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4"/>
      <c r="AG583" s="64"/>
      <c r="AH583" s="64"/>
      <c r="AI583" s="64"/>
      <c r="AJ583" s="64"/>
      <c r="AK583" s="64"/>
      <c r="AL583" s="64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</row>
    <row r="584" ht="16.5" customHeight="1">
      <c r="A584" s="62"/>
      <c r="B584" s="62"/>
      <c r="C584" s="62"/>
      <c r="D584" s="62"/>
      <c r="E584" s="62"/>
      <c r="F584" s="63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4"/>
      <c r="AG584" s="64"/>
      <c r="AH584" s="64"/>
      <c r="AI584" s="64"/>
      <c r="AJ584" s="64"/>
      <c r="AK584" s="64"/>
      <c r="AL584" s="64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</row>
    <row r="585" ht="16.5" customHeight="1">
      <c r="A585" s="62"/>
      <c r="B585" s="62"/>
      <c r="C585" s="62"/>
      <c r="D585" s="62"/>
      <c r="E585" s="62"/>
      <c r="F585" s="63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4"/>
      <c r="AG585" s="64"/>
      <c r="AH585" s="64"/>
      <c r="AI585" s="64"/>
      <c r="AJ585" s="64"/>
      <c r="AK585" s="64"/>
      <c r="AL585" s="64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</row>
    <row r="586" ht="16.5" customHeight="1">
      <c r="A586" s="62"/>
      <c r="B586" s="62"/>
      <c r="C586" s="62"/>
      <c r="D586" s="62"/>
      <c r="E586" s="62"/>
      <c r="F586" s="63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4"/>
      <c r="AG586" s="64"/>
      <c r="AH586" s="64"/>
      <c r="AI586" s="64"/>
      <c r="AJ586" s="64"/>
      <c r="AK586" s="64"/>
      <c r="AL586" s="64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</row>
    <row r="587" ht="16.5" customHeight="1">
      <c r="A587" s="62"/>
      <c r="B587" s="62"/>
      <c r="C587" s="62"/>
      <c r="D587" s="62"/>
      <c r="E587" s="62"/>
      <c r="F587" s="63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4"/>
      <c r="AG587" s="64"/>
      <c r="AH587" s="64"/>
      <c r="AI587" s="64"/>
      <c r="AJ587" s="64"/>
      <c r="AK587" s="64"/>
      <c r="AL587" s="64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</row>
    <row r="588" ht="16.5" customHeight="1">
      <c r="A588" s="62"/>
      <c r="B588" s="62"/>
      <c r="C588" s="62"/>
      <c r="D588" s="62"/>
      <c r="E588" s="62"/>
      <c r="F588" s="63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4"/>
      <c r="AG588" s="64"/>
      <c r="AH588" s="64"/>
      <c r="AI588" s="64"/>
      <c r="AJ588" s="64"/>
      <c r="AK588" s="64"/>
      <c r="AL588" s="64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</row>
    <row r="589" ht="16.5" customHeight="1">
      <c r="A589" s="62"/>
      <c r="B589" s="62"/>
      <c r="C589" s="62"/>
      <c r="D589" s="62"/>
      <c r="E589" s="62"/>
      <c r="F589" s="63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4"/>
      <c r="AG589" s="64"/>
      <c r="AH589" s="64"/>
      <c r="AI589" s="64"/>
      <c r="AJ589" s="64"/>
      <c r="AK589" s="64"/>
      <c r="AL589" s="64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</row>
    <row r="590" ht="16.5" customHeight="1">
      <c r="A590" s="62"/>
      <c r="B590" s="62"/>
      <c r="C590" s="62"/>
      <c r="D590" s="62"/>
      <c r="E590" s="62"/>
      <c r="F590" s="63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4"/>
      <c r="AG590" s="64"/>
      <c r="AH590" s="64"/>
      <c r="AI590" s="64"/>
      <c r="AJ590" s="64"/>
      <c r="AK590" s="64"/>
      <c r="AL590" s="64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</row>
    <row r="591" ht="16.5" customHeight="1">
      <c r="A591" s="62"/>
      <c r="B591" s="62"/>
      <c r="C591" s="62"/>
      <c r="D591" s="62"/>
      <c r="E591" s="62"/>
      <c r="F591" s="63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4"/>
      <c r="AG591" s="64"/>
      <c r="AH591" s="64"/>
      <c r="AI591" s="64"/>
      <c r="AJ591" s="64"/>
      <c r="AK591" s="64"/>
      <c r="AL591" s="64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</row>
    <row r="592" ht="16.5" customHeight="1">
      <c r="A592" s="62"/>
      <c r="B592" s="62"/>
      <c r="C592" s="62"/>
      <c r="D592" s="62"/>
      <c r="E592" s="62"/>
      <c r="F592" s="63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4"/>
      <c r="AG592" s="64"/>
      <c r="AH592" s="64"/>
      <c r="AI592" s="64"/>
      <c r="AJ592" s="64"/>
      <c r="AK592" s="64"/>
      <c r="AL592" s="64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</row>
    <row r="593" ht="16.5" customHeight="1">
      <c r="A593" s="62"/>
      <c r="B593" s="62"/>
      <c r="C593" s="62"/>
      <c r="D593" s="62"/>
      <c r="E593" s="62"/>
      <c r="F593" s="63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4"/>
      <c r="AG593" s="64"/>
      <c r="AH593" s="64"/>
      <c r="AI593" s="64"/>
      <c r="AJ593" s="64"/>
      <c r="AK593" s="64"/>
      <c r="AL593" s="64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</row>
    <row r="594" ht="16.5" customHeight="1">
      <c r="A594" s="62"/>
      <c r="B594" s="62"/>
      <c r="C594" s="62"/>
      <c r="D594" s="62"/>
      <c r="E594" s="62"/>
      <c r="F594" s="63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4"/>
      <c r="AG594" s="64"/>
      <c r="AH594" s="64"/>
      <c r="AI594" s="64"/>
      <c r="AJ594" s="64"/>
      <c r="AK594" s="64"/>
      <c r="AL594" s="64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</row>
    <row r="595" ht="16.5" customHeight="1">
      <c r="A595" s="62"/>
      <c r="B595" s="62"/>
      <c r="C595" s="62"/>
      <c r="D595" s="62"/>
      <c r="E595" s="62"/>
      <c r="F595" s="63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4"/>
      <c r="AG595" s="64"/>
      <c r="AH595" s="64"/>
      <c r="AI595" s="64"/>
      <c r="AJ595" s="64"/>
      <c r="AK595" s="64"/>
      <c r="AL595" s="64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</row>
    <row r="596" ht="16.5" customHeight="1">
      <c r="A596" s="62"/>
      <c r="B596" s="62"/>
      <c r="C596" s="62"/>
      <c r="D596" s="62"/>
      <c r="E596" s="62"/>
      <c r="F596" s="63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4"/>
      <c r="AG596" s="64"/>
      <c r="AH596" s="64"/>
      <c r="AI596" s="64"/>
      <c r="AJ596" s="64"/>
      <c r="AK596" s="64"/>
      <c r="AL596" s="64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</row>
    <row r="597" ht="16.5" customHeight="1">
      <c r="A597" s="62"/>
      <c r="B597" s="62"/>
      <c r="C597" s="62"/>
      <c r="D597" s="62"/>
      <c r="E597" s="62"/>
      <c r="F597" s="63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4"/>
      <c r="AG597" s="64"/>
      <c r="AH597" s="64"/>
      <c r="AI597" s="64"/>
      <c r="AJ597" s="64"/>
      <c r="AK597" s="64"/>
      <c r="AL597" s="64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</row>
    <row r="598" ht="16.5" customHeight="1">
      <c r="A598" s="62"/>
      <c r="B598" s="62"/>
      <c r="C598" s="62"/>
      <c r="D598" s="62"/>
      <c r="E598" s="62"/>
      <c r="F598" s="63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4"/>
      <c r="AG598" s="64"/>
      <c r="AH598" s="64"/>
      <c r="AI598" s="64"/>
      <c r="AJ598" s="64"/>
      <c r="AK598" s="64"/>
      <c r="AL598" s="64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</row>
    <row r="599" ht="16.5" customHeight="1">
      <c r="A599" s="62"/>
      <c r="B599" s="62"/>
      <c r="C599" s="62"/>
      <c r="D599" s="62"/>
      <c r="E599" s="62"/>
      <c r="F599" s="63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4"/>
      <c r="AG599" s="64"/>
      <c r="AH599" s="64"/>
      <c r="AI599" s="64"/>
      <c r="AJ599" s="64"/>
      <c r="AK599" s="64"/>
      <c r="AL599" s="64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</row>
    <row r="600" ht="16.5" customHeight="1">
      <c r="A600" s="62"/>
      <c r="B600" s="62"/>
      <c r="C600" s="62"/>
      <c r="D600" s="62"/>
      <c r="E600" s="62"/>
      <c r="F600" s="63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4"/>
      <c r="AG600" s="64"/>
      <c r="AH600" s="64"/>
      <c r="AI600" s="64"/>
      <c r="AJ600" s="64"/>
      <c r="AK600" s="64"/>
      <c r="AL600" s="64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</row>
    <row r="601" ht="16.5" customHeight="1">
      <c r="A601" s="62"/>
      <c r="B601" s="62"/>
      <c r="C601" s="62"/>
      <c r="D601" s="62"/>
      <c r="E601" s="62"/>
      <c r="F601" s="63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4"/>
      <c r="AG601" s="64"/>
      <c r="AH601" s="64"/>
      <c r="AI601" s="64"/>
      <c r="AJ601" s="64"/>
      <c r="AK601" s="64"/>
      <c r="AL601" s="64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</row>
    <row r="602" ht="16.5" customHeight="1">
      <c r="A602" s="62"/>
      <c r="B602" s="62"/>
      <c r="C602" s="62"/>
      <c r="D602" s="62"/>
      <c r="E602" s="62"/>
      <c r="F602" s="63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4"/>
      <c r="AG602" s="64"/>
      <c r="AH602" s="64"/>
      <c r="AI602" s="64"/>
      <c r="AJ602" s="64"/>
      <c r="AK602" s="64"/>
      <c r="AL602" s="64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</row>
    <row r="603" ht="16.5" customHeight="1">
      <c r="A603" s="62"/>
      <c r="B603" s="62"/>
      <c r="C603" s="62"/>
      <c r="D603" s="62"/>
      <c r="E603" s="62"/>
      <c r="F603" s="63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4"/>
      <c r="AG603" s="64"/>
      <c r="AH603" s="64"/>
      <c r="AI603" s="64"/>
      <c r="AJ603" s="64"/>
      <c r="AK603" s="64"/>
      <c r="AL603" s="64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</row>
    <row r="604" ht="16.5" customHeight="1">
      <c r="A604" s="62"/>
      <c r="B604" s="62"/>
      <c r="C604" s="62"/>
      <c r="D604" s="62"/>
      <c r="E604" s="62"/>
      <c r="F604" s="63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4"/>
      <c r="AG604" s="64"/>
      <c r="AH604" s="64"/>
      <c r="AI604" s="64"/>
      <c r="AJ604" s="64"/>
      <c r="AK604" s="64"/>
      <c r="AL604" s="64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</row>
    <row r="605" ht="16.5" customHeight="1">
      <c r="A605" s="62"/>
      <c r="B605" s="62"/>
      <c r="C605" s="62"/>
      <c r="D605" s="62"/>
      <c r="E605" s="62"/>
      <c r="F605" s="63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4"/>
      <c r="AG605" s="64"/>
      <c r="AH605" s="64"/>
      <c r="AI605" s="64"/>
      <c r="AJ605" s="64"/>
      <c r="AK605" s="64"/>
      <c r="AL605" s="64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</row>
    <row r="606" ht="16.5" customHeight="1">
      <c r="A606" s="62"/>
      <c r="B606" s="62"/>
      <c r="C606" s="62"/>
      <c r="D606" s="62"/>
      <c r="E606" s="62"/>
      <c r="F606" s="63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4"/>
      <c r="AG606" s="64"/>
      <c r="AH606" s="64"/>
      <c r="AI606" s="64"/>
      <c r="AJ606" s="64"/>
      <c r="AK606" s="64"/>
      <c r="AL606" s="64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</row>
    <row r="607" ht="16.5" customHeight="1">
      <c r="A607" s="62"/>
      <c r="B607" s="62"/>
      <c r="C607" s="62"/>
      <c r="D607" s="62"/>
      <c r="E607" s="62"/>
      <c r="F607" s="63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4"/>
      <c r="AG607" s="64"/>
      <c r="AH607" s="64"/>
      <c r="AI607" s="64"/>
      <c r="AJ607" s="64"/>
      <c r="AK607" s="64"/>
      <c r="AL607" s="64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</row>
    <row r="608" ht="16.5" customHeight="1">
      <c r="A608" s="62"/>
      <c r="B608" s="62"/>
      <c r="C608" s="62"/>
      <c r="D608" s="62"/>
      <c r="E608" s="62"/>
      <c r="F608" s="63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4"/>
      <c r="AG608" s="64"/>
      <c r="AH608" s="64"/>
      <c r="AI608" s="64"/>
      <c r="AJ608" s="64"/>
      <c r="AK608" s="64"/>
      <c r="AL608" s="64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</row>
    <row r="609" ht="16.5" customHeight="1">
      <c r="A609" s="62"/>
      <c r="B609" s="62"/>
      <c r="C609" s="62"/>
      <c r="D609" s="62"/>
      <c r="E609" s="62"/>
      <c r="F609" s="63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4"/>
      <c r="AG609" s="64"/>
      <c r="AH609" s="64"/>
      <c r="AI609" s="64"/>
      <c r="AJ609" s="64"/>
      <c r="AK609" s="64"/>
      <c r="AL609" s="64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</row>
    <row r="610" ht="16.5" customHeight="1">
      <c r="A610" s="62"/>
      <c r="B610" s="62"/>
      <c r="C610" s="62"/>
      <c r="D610" s="62"/>
      <c r="E610" s="62"/>
      <c r="F610" s="63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4"/>
      <c r="AG610" s="64"/>
      <c r="AH610" s="64"/>
      <c r="AI610" s="64"/>
      <c r="AJ610" s="64"/>
      <c r="AK610" s="64"/>
      <c r="AL610" s="64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</row>
    <row r="611" ht="16.5" customHeight="1">
      <c r="A611" s="62"/>
      <c r="B611" s="62"/>
      <c r="C611" s="62"/>
      <c r="D611" s="62"/>
      <c r="E611" s="62"/>
      <c r="F611" s="63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4"/>
      <c r="AG611" s="64"/>
      <c r="AH611" s="64"/>
      <c r="AI611" s="64"/>
      <c r="AJ611" s="64"/>
      <c r="AK611" s="64"/>
      <c r="AL611" s="64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</row>
    <row r="612" ht="16.5" customHeight="1">
      <c r="A612" s="62"/>
      <c r="B612" s="62"/>
      <c r="C612" s="62"/>
      <c r="D612" s="62"/>
      <c r="E612" s="62"/>
      <c r="F612" s="63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4"/>
      <c r="AG612" s="64"/>
      <c r="AH612" s="64"/>
      <c r="AI612" s="64"/>
      <c r="AJ612" s="64"/>
      <c r="AK612" s="64"/>
      <c r="AL612" s="64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</row>
    <row r="613" ht="16.5" customHeight="1">
      <c r="A613" s="62"/>
      <c r="B613" s="62"/>
      <c r="C613" s="62"/>
      <c r="D613" s="62"/>
      <c r="E613" s="62"/>
      <c r="F613" s="63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4"/>
      <c r="AG613" s="64"/>
      <c r="AH613" s="64"/>
      <c r="AI613" s="64"/>
      <c r="AJ613" s="64"/>
      <c r="AK613" s="64"/>
      <c r="AL613" s="64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</row>
    <row r="614" ht="16.5" customHeight="1">
      <c r="A614" s="62"/>
      <c r="B614" s="62"/>
      <c r="C614" s="62"/>
      <c r="D614" s="62"/>
      <c r="E614" s="62"/>
      <c r="F614" s="63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4"/>
      <c r="AG614" s="64"/>
      <c r="AH614" s="64"/>
      <c r="AI614" s="64"/>
      <c r="AJ614" s="64"/>
      <c r="AK614" s="64"/>
      <c r="AL614" s="64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</row>
    <row r="615" ht="16.5" customHeight="1">
      <c r="A615" s="62"/>
      <c r="B615" s="62"/>
      <c r="C615" s="62"/>
      <c r="D615" s="62"/>
      <c r="E615" s="62"/>
      <c r="F615" s="63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4"/>
      <c r="AG615" s="64"/>
      <c r="AH615" s="64"/>
      <c r="AI615" s="64"/>
      <c r="AJ615" s="64"/>
      <c r="AK615" s="64"/>
      <c r="AL615" s="64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</row>
    <row r="616" ht="16.5" customHeight="1">
      <c r="A616" s="62"/>
      <c r="B616" s="62"/>
      <c r="C616" s="62"/>
      <c r="D616" s="62"/>
      <c r="E616" s="62"/>
      <c r="F616" s="63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4"/>
      <c r="AG616" s="64"/>
      <c r="AH616" s="64"/>
      <c r="AI616" s="64"/>
      <c r="AJ616" s="64"/>
      <c r="AK616" s="64"/>
      <c r="AL616" s="64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</row>
    <row r="617" ht="16.5" customHeight="1">
      <c r="A617" s="62"/>
      <c r="B617" s="62"/>
      <c r="C617" s="62"/>
      <c r="D617" s="62"/>
      <c r="E617" s="62"/>
      <c r="F617" s="63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4"/>
      <c r="AG617" s="64"/>
      <c r="AH617" s="64"/>
      <c r="AI617" s="64"/>
      <c r="AJ617" s="64"/>
      <c r="AK617" s="64"/>
      <c r="AL617" s="64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</row>
    <row r="618" ht="16.5" customHeight="1">
      <c r="A618" s="62"/>
      <c r="B618" s="62"/>
      <c r="C618" s="62"/>
      <c r="D618" s="62"/>
      <c r="E618" s="62"/>
      <c r="F618" s="63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4"/>
      <c r="AG618" s="64"/>
      <c r="AH618" s="64"/>
      <c r="AI618" s="64"/>
      <c r="AJ618" s="64"/>
      <c r="AK618" s="64"/>
      <c r="AL618" s="64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</row>
    <row r="619" ht="16.5" customHeight="1">
      <c r="A619" s="62"/>
      <c r="B619" s="62"/>
      <c r="C619" s="62"/>
      <c r="D619" s="62"/>
      <c r="E619" s="62"/>
      <c r="F619" s="63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4"/>
      <c r="AG619" s="64"/>
      <c r="AH619" s="64"/>
      <c r="AI619" s="64"/>
      <c r="AJ619" s="64"/>
      <c r="AK619" s="64"/>
      <c r="AL619" s="64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</row>
    <row r="620" ht="16.5" customHeight="1">
      <c r="A620" s="62"/>
      <c r="B620" s="62"/>
      <c r="C620" s="62"/>
      <c r="D620" s="62"/>
      <c r="E620" s="62"/>
      <c r="F620" s="63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4"/>
      <c r="AG620" s="64"/>
      <c r="AH620" s="64"/>
      <c r="AI620" s="64"/>
      <c r="AJ620" s="64"/>
      <c r="AK620" s="64"/>
      <c r="AL620" s="64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</row>
    <row r="621" ht="16.5" customHeight="1">
      <c r="A621" s="62"/>
      <c r="B621" s="62"/>
      <c r="C621" s="62"/>
      <c r="D621" s="62"/>
      <c r="E621" s="62"/>
      <c r="F621" s="63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4"/>
      <c r="AG621" s="64"/>
      <c r="AH621" s="64"/>
      <c r="AI621" s="64"/>
      <c r="AJ621" s="64"/>
      <c r="AK621" s="64"/>
      <c r="AL621" s="64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</row>
    <row r="622" ht="16.5" customHeight="1">
      <c r="A622" s="62"/>
      <c r="B622" s="62"/>
      <c r="C622" s="62"/>
      <c r="D622" s="62"/>
      <c r="E622" s="62"/>
      <c r="F622" s="63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4"/>
      <c r="AG622" s="64"/>
      <c r="AH622" s="64"/>
      <c r="AI622" s="64"/>
      <c r="AJ622" s="64"/>
      <c r="AK622" s="64"/>
      <c r="AL622" s="64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</row>
    <row r="623" ht="16.5" customHeight="1">
      <c r="A623" s="62"/>
      <c r="B623" s="62"/>
      <c r="C623" s="62"/>
      <c r="D623" s="62"/>
      <c r="E623" s="62"/>
      <c r="F623" s="63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4"/>
      <c r="AG623" s="64"/>
      <c r="AH623" s="64"/>
      <c r="AI623" s="64"/>
      <c r="AJ623" s="64"/>
      <c r="AK623" s="64"/>
      <c r="AL623" s="64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</row>
    <row r="624" ht="16.5" customHeight="1">
      <c r="A624" s="62"/>
      <c r="B624" s="62"/>
      <c r="C624" s="62"/>
      <c r="D624" s="62"/>
      <c r="E624" s="62"/>
      <c r="F624" s="63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4"/>
      <c r="AG624" s="64"/>
      <c r="AH624" s="64"/>
      <c r="AI624" s="64"/>
      <c r="AJ624" s="64"/>
      <c r="AK624" s="64"/>
      <c r="AL624" s="64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</row>
    <row r="625" ht="16.5" customHeight="1">
      <c r="A625" s="62"/>
      <c r="B625" s="62"/>
      <c r="C625" s="62"/>
      <c r="D625" s="62"/>
      <c r="E625" s="62"/>
      <c r="F625" s="63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4"/>
      <c r="AG625" s="64"/>
      <c r="AH625" s="64"/>
      <c r="AI625" s="64"/>
      <c r="AJ625" s="64"/>
      <c r="AK625" s="64"/>
      <c r="AL625" s="64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</row>
    <row r="626" ht="16.5" customHeight="1">
      <c r="A626" s="62"/>
      <c r="B626" s="62"/>
      <c r="C626" s="62"/>
      <c r="D626" s="62"/>
      <c r="E626" s="62"/>
      <c r="F626" s="63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4"/>
      <c r="AG626" s="64"/>
      <c r="AH626" s="64"/>
      <c r="AI626" s="64"/>
      <c r="AJ626" s="64"/>
      <c r="AK626" s="64"/>
      <c r="AL626" s="64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</row>
    <row r="627" ht="16.5" customHeight="1">
      <c r="A627" s="62"/>
      <c r="B627" s="62"/>
      <c r="C627" s="62"/>
      <c r="D627" s="62"/>
      <c r="E627" s="62"/>
      <c r="F627" s="63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4"/>
      <c r="AG627" s="64"/>
      <c r="AH627" s="64"/>
      <c r="AI627" s="64"/>
      <c r="AJ627" s="64"/>
      <c r="AK627" s="64"/>
      <c r="AL627" s="64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</row>
    <row r="628" ht="16.5" customHeight="1">
      <c r="A628" s="62"/>
      <c r="B628" s="62"/>
      <c r="C628" s="62"/>
      <c r="D628" s="62"/>
      <c r="E628" s="62"/>
      <c r="F628" s="63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4"/>
      <c r="AG628" s="64"/>
      <c r="AH628" s="64"/>
      <c r="AI628" s="64"/>
      <c r="AJ628" s="64"/>
      <c r="AK628" s="64"/>
      <c r="AL628" s="64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</row>
    <row r="629" ht="16.5" customHeight="1">
      <c r="A629" s="62"/>
      <c r="B629" s="62"/>
      <c r="C629" s="62"/>
      <c r="D629" s="62"/>
      <c r="E629" s="62"/>
      <c r="F629" s="63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4"/>
      <c r="AG629" s="64"/>
      <c r="AH629" s="64"/>
      <c r="AI629" s="64"/>
      <c r="AJ629" s="64"/>
      <c r="AK629" s="64"/>
      <c r="AL629" s="64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</row>
    <row r="630" ht="16.5" customHeight="1">
      <c r="A630" s="62"/>
      <c r="B630" s="62"/>
      <c r="C630" s="62"/>
      <c r="D630" s="62"/>
      <c r="E630" s="62"/>
      <c r="F630" s="63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4"/>
      <c r="AG630" s="64"/>
      <c r="AH630" s="64"/>
      <c r="AI630" s="64"/>
      <c r="AJ630" s="64"/>
      <c r="AK630" s="64"/>
      <c r="AL630" s="64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</row>
    <row r="631" ht="16.5" customHeight="1">
      <c r="A631" s="62"/>
      <c r="B631" s="62"/>
      <c r="C631" s="62"/>
      <c r="D631" s="62"/>
      <c r="E631" s="62"/>
      <c r="F631" s="63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4"/>
      <c r="AG631" s="64"/>
      <c r="AH631" s="64"/>
      <c r="AI631" s="64"/>
      <c r="AJ631" s="64"/>
      <c r="AK631" s="64"/>
      <c r="AL631" s="64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</row>
    <row r="632" ht="16.5" customHeight="1">
      <c r="A632" s="62"/>
      <c r="B632" s="62"/>
      <c r="C632" s="62"/>
      <c r="D632" s="62"/>
      <c r="E632" s="62"/>
      <c r="F632" s="63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4"/>
      <c r="AG632" s="64"/>
      <c r="AH632" s="64"/>
      <c r="AI632" s="64"/>
      <c r="AJ632" s="64"/>
      <c r="AK632" s="64"/>
      <c r="AL632" s="64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</row>
    <row r="633" ht="16.5" customHeight="1">
      <c r="A633" s="62"/>
      <c r="B633" s="62"/>
      <c r="C633" s="62"/>
      <c r="D633" s="62"/>
      <c r="E633" s="62"/>
      <c r="F633" s="63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4"/>
      <c r="AG633" s="64"/>
      <c r="AH633" s="64"/>
      <c r="AI633" s="64"/>
      <c r="AJ633" s="64"/>
      <c r="AK633" s="64"/>
      <c r="AL633" s="64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</row>
    <row r="634" ht="16.5" customHeight="1">
      <c r="A634" s="62"/>
      <c r="B634" s="62"/>
      <c r="C634" s="62"/>
      <c r="D634" s="62"/>
      <c r="E634" s="62"/>
      <c r="F634" s="63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4"/>
      <c r="AG634" s="64"/>
      <c r="AH634" s="64"/>
      <c r="AI634" s="64"/>
      <c r="AJ634" s="64"/>
      <c r="AK634" s="64"/>
      <c r="AL634" s="64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</row>
    <row r="635" ht="16.5" customHeight="1">
      <c r="A635" s="62"/>
      <c r="B635" s="62"/>
      <c r="C635" s="62"/>
      <c r="D635" s="62"/>
      <c r="E635" s="62"/>
      <c r="F635" s="63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4"/>
      <c r="AG635" s="64"/>
      <c r="AH635" s="64"/>
      <c r="AI635" s="64"/>
      <c r="AJ635" s="64"/>
      <c r="AK635" s="64"/>
      <c r="AL635" s="64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</row>
    <row r="636" ht="16.5" customHeight="1">
      <c r="A636" s="62"/>
      <c r="B636" s="62"/>
      <c r="C636" s="62"/>
      <c r="D636" s="62"/>
      <c r="E636" s="62"/>
      <c r="F636" s="63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4"/>
      <c r="AG636" s="64"/>
      <c r="AH636" s="64"/>
      <c r="AI636" s="64"/>
      <c r="AJ636" s="64"/>
      <c r="AK636" s="64"/>
      <c r="AL636" s="64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</row>
    <row r="637" ht="16.5" customHeight="1">
      <c r="A637" s="62"/>
      <c r="B637" s="62"/>
      <c r="C637" s="62"/>
      <c r="D637" s="62"/>
      <c r="E637" s="62"/>
      <c r="F637" s="63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4"/>
      <c r="AG637" s="64"/>
      <c r="AH637" s="64"/>
      <c r="AI637" s="64"/>
      <c r="AJ637" s="64"/>
      <c r="AK637" s="64"/>
      <c r="AL637" s="64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</row>
    <row r="638" ht="16.5" customHeight="1">
      <c r="A638" s="62"/>
      <c r="B638" s="62"/>
      <c r="C638" s="62"/>
      <c r="D638" s="62"/>
      <c r="E638" s="62"/>
      <c r="F638" s="63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4"/>
      <c r="AG638" s="64"/>
      <c r="AH638" s="64"/>
      <c r="AI638" s="64"/>
      <c r="AJ638" s="64"/>
      <c r="AK638" s="64"/>
      <c r="AL638" s="64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</row>
    <row r="639" ht="16.5" customHeight="1">
      <c r="A639" s="62"/>
      <c r="B639" s="62"/>
      <c r="C639" s="62"/>
      <c r="D639" s="62"/>
      <c r="E639" s="62"/>
      <c r="F639" s="63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4"/>
      <c r="AG639" s="64"/>
      <c r="AH639" s="64"/>
      <c r="AI639" s="64"/>
      <c r="AJ639" s="64"/>
      <c r="AK639" s="64"/>
      <c r="AL639" s="64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</row>
    <row r="640" ht="16.5" customHeight="1">
      <c r="A640" s="62"/>
      <c r="B640" s="62"/>
      <c r="C640" s="62"/>
      <c r="D640" s="62"/>
      <c r="E640" s="62"/>
      <c r="F640" s="63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4"/>
      <c r="AG640" s="64"/>
      <c r="AH640" s="64"/>
      <c r="AI640" s="64"/>
      <c r="AJ640" s="64"/>
      <c r="AK640" s="64"/>
      <c r="AL640" s="64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</row>
    <row r="641" ht="16.5" customHeight="1">
      <c r="A641" s="62"/>
      <c r="B641" s="62"/>
      <c r="C641" s="62"/>
      <c r="D641" s="62"/>
      <c r="E641" s="62"/>
      <c r="F641" s="63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4"/>
      <c r="AG641" s="64"/>
      <c r="AH641" s="64"/>
      <c r="AI641" s="64"/>
      <c r="AJ641" s="64"/>
      <c r="AK641" s="64"/>
      <c r="AL641" s="64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</row>
    <row r="642" ht="16.5" customHeight="1">
      <c r="A642" s="62"/>
      <c r="B642" s="62"/>
      <c r="C642" s="62"/>
      <c r="D642" s="62"/>
      <c r="E642" s="62"/>
      <c r="F642" s="63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4"/>
      <c r="AG642" s="64"/>
      <c r="AH642" s="64"/>
      <c r="AI642" s="64"/>
      <c r="AJ642" s="64"/>
      <c r="AK642" s="64"/>
      <c r="AL642" s="64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</row>
    <row r="643" ht="16.5" customHeight="1">
      <c r="A643" s="62"/>
      <c r="B643" s="62"/>
      <c r="C643" s="62"/>
      <c r="D643" s="62"/>
      <c r="E643" s="62"/>
      <c r="F643" s="63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4"/>
      <c r="AG643" s="64"/>
      <c r="AH643" s="64"/>
      <c r="AI643" s="64"/>
      <c r="AJ643" s="64"/>
      <c r="AK643" s="64"/>
      <c r="AL643" s="64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</row>
    <row r="644" ht="16.5" customHeight="1">
      <c r="A644" s="62"/>
      <c r="B644" s="62"/>
      <c r="C644" s="62"/>
      <c r="D644" s="62"/>
      <c r="E644" s="62"/>
      <c r="F644" s="63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4"/>
      <c r="AG644" s="64"/>
      <c r="AH644" s="64"/>
      <c r="AI644" s="64"/>
      <c r="AJ644" s="64"/>
      <c r="AK644" s="64"/>
      <c r="AL644" s="64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</row>
    <row r="645" ht="16.5" customHeight="1">
      <c r="A645" s="62"/>
      <c r="B645" s="62"/>
      <c r="C645" s="62"/>
      <c r="D645" s="62"/>
      <c r="E645" s="62"/>
      <c r="F645" s="63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4"/>
      <c r="AG645" s="64"/>
      <c r="AH645" s="64"/>
      <c r="AI645" s="64"/>
      <c r="AJ645" s="64"/>
      <c r="AK645" s="64"/>
      <c r="AL645" s="64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</row>
    <row r="646" ht="16.5" customHeight="1">
      <c r="A646" s="62"/>
      <c r="B646" s="62"/>
      <c r="C646" s="62"/>
      <c r="D646" s="62"/>
      <c r="E646" s="62"/>
      <c r="F646" s="63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4"/>
      <c r="AG646" s="64"/>
      <c r="AH646" s="64"/>
      <c r="AI646" s="64"/>
      <c r="AJ646" s="64"/>
      <c r="AK646" s="64"/>
      <c r="AL646" s="64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</row>
    <row r="647" ht="16.5" customHeight="1">
      <c r="A647" s="62"/>
      <c r="B647" s="62"/>
      <c r="C647" s="62"/>
      <c r="D647" s="62"/>
      <c r="E647" s="62"/>
      <c r="F647" s="63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4"/>
      <c r="AG647" s="64"/>
      <c r="AH647" s="64"/>
      <c r="AI647" s="64"/>
      <c r="AJ647" s="64"/>
      <c r="AK647" s="64"/>
      <c r="AL647" s="64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</row>
    <row r="648" ht="16.5" customHeight="1">
      <c r="A648" s="62"/>
      <c r="B648" s="62"/>
      <c r="C648" s="62"/>
      <c r="D648" s="62"/>
      <c r="E648" s="62"/>
      <c r="F648" s="63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4"/>
      <c r="AG648" s="64"/>
      <c r="AH648" s="64"/>
      <c r="AI648" s="64"/>
      <c r="AJ648" s="64"/>
      <c r="AK648" s="64"/>
      <c r="AL648" s="64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</row>
    <row r="649" ht="16.5" customHeight="1">
      <c r="A649" s="62"/>
      <c r="B649" s="62"/>
      <c r="C649" s="62"/>
      <c r="D649" s="62"/>
      <c r="E649" s="62"/>
      <c r="F649" s="63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4"/>
      <c r="AG649" s="64"/>
      <c r="AH649" s="64"/>
      <c r="AI649" s="64"/>
      <c r="AJ649" s="64"/>
      <c r="AK649" s="64"/>
      <c r="AL649" s="64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</row>
    <row r="650" ht="16.5" customHeight="1">
      <c r="A650" s="62"/>
      <c r="B650" s="62"/>
      <c r="C650" s="62"/>
      <c r="D650" s="62"/>
      <c r="E650" s="62"/>
      <c r="F650" s="63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4"/>
      <c r="AG650" s="64"/>
      <c r="AH650" s="64"/>
      <c r="AI650" s="64"/>
      <c r="AJ650" s="64"/>
      <c r="AK650" s="64"/>
      <c r="AL650" s="64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</row>
    <row r="651" ht="16.5" customHeight="1">
      <c r="A651" s="62"/>
      <c r="B651" s="62"/>
      <c r="C651" s="62"/>
      <c r="D651" s="62"/>
      <c r="E651" s="62"/>
      <c r="F651" s="63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4"/>
      <c r="AG651" s="64"/>
      <c r="AH651" s="64"/>
      <c r="AI651" s="64"/>
      <c r="AJ651" s="64"/>
      <c r="AK651" s="64"/>
      <c r="AL651" s="64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</row>
    <row r="652" ht="16.5" customHeight="1">
      <c r="A652" s="62"/>
      <c r="B652" s="62"/>
      <c r="C652" s="62"/>
      <c r="D652" s="62"/>
      <c r="E652" s="62"/>
      <c r="F652" s="63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4"/>
      <c r="AG652" s="64"/>
      <c r="AH652" s="64"/>
      <c r="AI652" s="64"/>
      <c r="AJ652" s="64"/>
      <c r="AK652" s="64"/>
      <c r="AL652" s="64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</row>
    <row r="653" ht="16.5" customHeight="1">
      <c r="A653" s="62"/>
      <c r="B653" s="62"/>
      <c r="C653" s="62"/>
      <c r="D653" s="62"/>
      <c r="E653" s="62"/>
      <c r="F653" s="63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4"/>
      <c r="AG653" s="64"/>
      <c r="AH653" s="64"/>
      <c r="AI653" s="64"/>
      <c r="AJ653" s="64"/>
      <c r="AK653" s="64"/>
      <c r="AL653" s="64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</row>
    <row r="654" ht="16.5" customHeight="1">
      <c r="A654" s="62"/>
      <c r="B654" s="62"/>
      <c r="C654" s="62"/>
      <c r="D654" s="62"/>
      <c r="E654" s="62"/>
      <c r="F654" s="63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4"/>
      <c r="AG654" s="64"/>
      <c r="AH654" s="64"/>
      <c r="AI654" s="64"/>
      <c r="AJ654" s="64"/>
      <c r="AK654" s="64"/>
      <c r="AL654" s="64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</row>
    <row r="655" ht="16.5" customHeight="1">
      <c r="A655" s="62"/>
      <c r="B655" s="62"/>
      <c r="C655" s="62"/>
      <c r="D655" s="62"/>
      <c r="E655" s="62"/>
      <c r="F655" s="63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4"/>
      <c r="AG655" s="64"/>
      <c r="AH655" s="64"/>
      <c r="AI655" s="64"/>
      <c r="AJ655" s="64"/>
      <c r="AK655" s="64"/>
      <c r="AL655" s="64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</row>
    <row r="656" ht="16.5" customHeight="1">
      <c r="A656" s="62"/>
      <c r="B656" s="62"/>
      <c r="C656" s="62"/>
      <c r="D656" s="62"/>
      <c r="E656" s="62"/>
      <c r="F656" s="63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4"/>
      <c r="AG656" s="64"/>
      <c r="AH656" s="64"/>
      <c r="AI656" s="64"/>
      <c r="AJ656" s="64"/>
      <c r="AK656" s="64"/>
      <c r="AL656" s="64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</row>
    <row r="657" ht="16.5" customHeight="1">
      <c r="A657" s="62"/>
      <c r="B657" s="62"/>
      <c r="C657" s="62"/>
      <c r="D657" s="62"/>
      <c r="E657" s="62"/>
      <c r="F657" s="63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4"/>
      <c r="AG657" s="64"/>
      <c r="AH657" s="64"/>
      <c r="AI657" s="64"/>
      <c r="AJ657" s="64"/>
      <c r="AK657" s="64"/>
      <c r="AL657" s="64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</row>
    <row r="658" ht="16.5" customHeight="1">
      <c r="A658" s="62"/>
      <c r="B658" s="62"/>
      <c r="C658" s="62"/>
      <c r="D658" s="62"/>
      <c r="E658" s="62"/>
      <c r="F658" s="63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4"/>
      <c r="AG658" s="64"/>
      <c r="AH658" s="64"/>
      <c r="AI658" s="64"/>
      <c r="AJ658" s="64"/>
      <c r="AK658" s="64"/>
      <c r="AL658" s="64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</row>
    <row r="659" ht="16.5" customHeight="1">
      <c r="A659" s="62"/>
      <c r="B659" s="62"/>
      <c r="C659" s="62"/>
      <c r="D659" s="62"/>
      <c r="E659" s="62"/>
      <c r="F659" s="63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4"/>
      <c r="AG659" s="64"/>
      <c r="AH659" s="64"/>
      <c r="AI659" s="64"/>
      <c r="AJ659" s="64"/>
      <c r="AK659" s="64"/>
      <c r="AL659" s="64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</row>
    <row r="660" ht="16.5" customHeight="1">
      <c r="A660" s="62"/>
      <c r="B660" s="62"/>
      <c r="C660" s="62"/>
      <c r="D660" s="62"/>
      <c r="E660" s="62"/>
      <c r="F660" s="63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4"/>
      <c r="AG660" s="64"/>
      <c r="AH660" s="64"/>
      <c r="AI660" s="64"/>
      <c r="AJ660" s="64"/>
      <c r="AK660" s="64"/>
      <c r="AL660" s="64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</row>
    <row r="661" ht="16.5" customHeight="1">
      <c r="A661" s="62"/>
      <c r="B661" s="62"/>
      <c r="C661" s="62"/>
      <c r="D661" s="62"/>
      <c r="E661" s="62"/>
      <c r="F661" s="63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4"/>
      <c r="AG661" s="64"/>
      <c r="AH661" s="64"/>
      <c r="AI661" s="64"/>
      <c r="AJ661" s="64"/>
      <c r="AK661" s="64"/>
      <c r="AL661" s="64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</row>
    <row r="662" ht="16.5" customHeight="1">
      <c r="A662" s="62"/>
      <c r="B662" s="62"/>
      <c r="C662" s="62"/>
      <c r="D662" s="62"/>
      <c r="E662" s="62"/>
      <c r="F662" s="63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4"/>
      <c r="AG662" s="64"/>
      <c r="AH662" s="64"/>
      <c r="AI662" s="64"/>
      <c r="AJ662" s="64"/>
      <c r="AK662" s="64"/>
      <c r="AL662" s="64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</row>
    <row r="663" ht="16.5" customHeight="1">
      <c r="A663" s="62"/>
      <c r="B663" s="62"/>
      <c r="C663" s="62"/>
      <c r="D663" s="62"/>
      <c r="E663" s="62"/>
      <c r="F663" s="63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4"/>
      <c r="AG663" s="64"/>
      <c r="AH663" s="64"/>
      <c r="AI663" s="64"/>
      <c r="AJ663" s="64"/>
      <c r="AK663" s="64"/>
      <c r="AL663" s="64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</row>
    <row r="664" ht="16.5" customHeight="1">
      <c r="A664" s="62"/>
      <c r="B664" s="62"/>
      <c r="C664" s="62"/>
      <c r="D664" s="62"/>
      <c r="E664" s="62"/>
      <c r="F664" s="63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4"/>
      <c r="AG664" s="64"/>
      <c r="AH664" s="64"/>
      <c r="AI664" s="64"/>
      <c r="AJ664" s="64"/>
      <c r="AK664" s="64"/>
      <c r="AL664" s="64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</row>
    <row r="665" ht="16.5" customHeight="1">
      <c r="A665" s="62"/>
      <c r="B665" s="62"/>
      <c r="C665" s="62"/>
      <c r="D665" s="62"/>
      <c r="E665" s="62"/>
      <c r="F665" s="63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4"/>
      <c r="AG665" s="64"/>
      <c r="AH665" s="64"/>
      <c r="AI665" s="64"/>
      <c r="AJ665" s="64"/>
      <c r="AK665" s="64"/>
      <c r="AL665" s="64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</row>
    <row r="666" ht="16.5" customHeight="1">
      <c r="A666" s="62"/>
      <c r="B666" s="62"/>
      <c r="C666" s="62"/>
      <c r="D666" s="62"/>
      <c r="E666" s="62"/>
      <c r="F666" s="63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4"/>
      <c r="AG666" s="64"/>
      <c r="AH666" s="64"/>
      <c r="AI666" s="64"/>
      <c r="AJ666" s="64"/>
      <c r="AK666" s="64"/>
      <c r="AL666" s="64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</row>
    <row r="667" ht="16.5" customHeight="1">
      <c r="A667" s="62"/>
      <c r="B667" s="62"/>
      <c r="C667" s="62"/>
      <c r="D667" s="62"/>
      <c r="E667" s="62"/>
      <c r="F667" s="63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4"/>
      <c r="AG667" s="64"/>
      <c r="AH667" s="64"/>
      <c r="AI667" s="64"/>
      <c r="AJ667" s="64"/>
      <c r="AK667" s="64"/>
      <c r="AL667" s="64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</row>
    <row r="668" ht="16.5" customHeight="1">
      <c r="A668" s="62"/>
      <c r="B668" s="62"/>
      <c r="C668" s="62"/>
      <c r="D668" s="62"/>
      <c r="E668" s="62"/>
      <c r="F668" s="63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4"/>
      <c r="AG668" s="64"/>
      <c r="AH668" s="64"/>
      <c r="AI668" s="64"/>
      <c r="AJ668" s="64"/>
      <c r="AK668" s="64"/>
      <c r="AL668" s="64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</row>
    <row r="669" ht="16.5" customHeight="1">
      <c r="A669" s="62"/>
      <c r="B669" s="62"/>
      <c r="C669" s="62"/>
      <c r="D669" s="62"/>
      <c r="E669" s="62"/>
      <c r="F669" s="63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4"/>
      <c r="AG669" s="64"/>
      <c r="AH669" s="64"/>
      <c r="AI669" s="64"/>
      <c r="AJ669" s="64"/>
      <c r="AK669" s="64"/>
      <c r="AL669" s="64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</row>
    <row r="670" ht="16.5" customHeight="1">
      <c r="A670" s="62"/>
      <c r="B670" s="62"/>
      <c r="C670" s="62"/>
      <c r="D670" s="62"/>
      <c r="E670" s="62"/>
      <c r="F670" s="63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4"/>
      <c r="AG670" s="64"/>
      <c r="AH670" s="64"/>
      <c r="AI670" s="64"/>
      <c r="AJ670" s="64"/>
      <c r="AK670" s="64"/>
      <c r="AL670" s="64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</row>
    <row r="671" ht="16.5" customHeight="1">
      <c r="A671" s="62"/>
      <c r="B671" s="62"/>
      <c r="C671" s="62"/>
      <c r="D671" s="62"/>
      <c r="E671" s="62"/>
      <c r="F671" s="63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4"/>
      <c r="AG671" s="64"/>
      <c r="AH671" s="64"/>
      <c r="AI671" s="64"/>
      <c r="AJ671" s="64"/>
      <c r="AK671" s="64"/>
      <c r="AL671" s="64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</row>
    <row r="672" ht="16.5" customHeight="1">
      <c r="A672" s="62"/>
      <c r="B672" s="62"/>
      <c r="C672" s="62"/>
      <c r="D672" s="62"/>
      <c r="E672" s="62"/>
      <c r="F672" s="63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4"/>
      <c r="AG672" s="64"/>
      <c r="AH672" s="64"/>
      <c r="AI672" s="64"/>
      <c r="AJ672" s="64"/>
      <c r="AK672" s="64"/>
      <c r="AL672" s="64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</row>
    <row r="673" ht="16.5" customHeight="1">
      <c r="A673" s="62"/>
      <c r="B673" s="62"/>
      <c r="C673" s="62"/>
      <c r="D673" s="62"/>
      <c r="E673" s="62"/>
      <c r="F673" s="63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4"/>
      <c r="AG673" s="64"/>
      <c r="AH673" s="64"/>
      <c r="AI673" s="64"/>
      <c r="AJ673" s="64"/>
      <c r="AK673" s="64"/>
      <c r="AL673" s="64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</row>
    <row r="674" ht="16.5" customHeight="1">
      <c r="A674" s="62"/>
      <c r="B674" s="62"/>
      <c r="C674" s="62"/>
      <c r="D674" s="62"/>
      <c r="E674" s="62"/>
      <c r="F674" s="63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4"/>
      <c r="AG674" s="64"/>
      <c r="AH674" s="64"/>
      <c r="AI674" s="64"/>
      <c r="AJ674" s="64"/>
      <c r="AK674" s="64"/>
      <c r="AL674" s="64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</row>
    <row r="675" ht="16.5" customHeight="1">
      <c r="A675" s="62"/>
      <c r="B675" s="62"/>
      <c r="C675" s="62"/>
      <c r="D675" s="62"/>
      <c r="E675" s="62"/>
      <c r="F675" s="63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4"/>
      <c r="AG675" s="64"/>
      <c r="AH675" s="64"/>
      <c r="AI675" s="64"/>
      <c r="AJ675" s="64"/>
      <c r="AK675" s="64"/>
      <c r="AL675" s="64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</row>
    <row r="676" ht="16.5" customHeight="1">
      <c r="A676" s="62"/>
      <c r="B676" s="62"/>
      <c r="C676" s="62"/>
      <c r="D676" s="62"/>
      <c r="E676" s="62"/>
      <c r="F676" s="63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4"/>
      <c r="AG676" s="64"/>
      <c r="AH676" s="64"/>
      <c r="AI676" s="64"/>
      <c r="AJ676" s="64"/>
      <c r="AK676" s="64"/>
      <c r="AL676" s="64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</row>
    <row r="677" ht="16.5" customHeight="1">
      <c r="A677" s="62"/>
      <c r="B677" s="62"/>
      <c r="C677" s="62"/>
      <c r="D677" s="62"/>
      <c r="E677" s="62"/>
      <c r="F677" s="63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4"/>
      <c r="AG677" s="64"/>
      <c r="AH677" s="64"/>
      <c r="AI677" s="64"/>
      <c r="AJ677" s="64"/>
      <c r="AK677" s="64"/>
      <c r="AL677" s="64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</row>
    <row r="678" ht="16.5" customHeight="1">
      <c r="A678" s="62"/>
      <c r="B678" s="62"/>
      <c r="C678" s="62"/>
      <c r="D678" s="62"/>
      <c r="E678" s="62"/>
      <c r="F678" s="63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4"/>
      <c r="AG678" s="64"/>
      <c r="AH678" s="64"/>
      <c r="AI678" s="64"/>
      <c r="AJ678" s="64"/>
      <c r="AK678" s="64"/>
      <c r="AL678" s="64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</row>
    <row r="679" ht="16.5" customHeight="1">
      <c r="A679" s="62"/>
      <c r="B679" s="62"/>
      <c r="C679" s="62"/>
      <c r="D679" s="62"/>
      <c r="E679" s="62"/>
      <c r="F679" s="63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4"/>
      <c r="AG679" s="64"/>
      <c r="AH679" s="64"/>
      <c r="AI679" s="64"/>
      <c r="AJ679" s="64"/>
      <c r="AK679" s="64"/>
      <c r="AL679" s="64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</row>
    <row r="680" ht="16.5" customHeight="1">
      <c r="A680" s="62"/>
      <c r="B680" s="62"/>
      <c r="C680" s="62"/>
      <c r="D680" s="62"/>
      <c r="E680" s="62"/>
      <c r="F680" s="63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4"/>
      <c r="AG680" s="64"/>
      <c r="AH680" s="64"/>
      <c r="AI680" s="64"/>
      <c r="AJ680" s="64"/>
      <c r="AK680" s="64"/>
      <c r="AL680" s="64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</row>
    <row r="681" ht="16.5" customHeight="1">
      <c r="A681" s="62"/>
      <c r="B681" s="62"/>
      <c r="C681" s="62"/>
      <c r="D681" s="62"/>
      <c r="E681" s="62"/>
      <c r="F681" s="63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4"/>
      <c r="AG681" s="64"/>
      <c r="AH681" s="64"/>
      <c r="AI681" s="64"/>
      <c r="AJ681" s="64"/>
      <c r="AK681" s="64"/>
      <c r="AL681" s="64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</row>
    <row r="682" ht="16.5" customHeight="1">
      <c r="A682" s="62"/>
      <c r="B682" s="62"/>
      <c r="C682" s="62"/>
      <c r="D682" s="62"/>
      <c r="E682" s="62"/>
      <c r="F682" s="63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4"/>
      <c r="AG682" s="64"/>
      <c r="AH682" s="64"/>
      <c r="AI682" s="64"/>
      <c r="AJ682" s="64"/>
      <c r="AK682" s="64"/>
      <c r="AL682" s="64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</row>
    <row r="683" ht="16.5" customHeight="1">
      <c r="A683" s="62"/>
      <c r="B683" s="62"/>
      <c r="C683" s="62"/>
      <c r="D683" s="62"/>
      <c r="E683" s="62"/>
      <c r="F683" s="63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4"/>
      <c r="AG683" s="64"/>
      <c r="AH683" s="64"/>
      <c r="AI683" s="64"/>
      <c r="AJ683" s="64"/>
      <c r="AK683" s="64"/>
      <c r="AL683" s="64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</row>
    <row r="684" ht="16.5" customHeight="1">
      <c r="A684" s="62"/>
      <c r="B684" s="62"/>
      <c r="C684" s="62"/>
      <c r="D684" s="62"/>
      <c r="E684" s="62"/>
      <c r="F684" s="63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4"/>
      <c r="AG684" s="64"/>
      <c r="AH684" s="64"/>
      <c r="AI684" s="64"/>
      <c r="AJ684" s="64"/>
      <c r="AK684" s="64"/>
      <c r="AL684" s="64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</row>
    <row r="685" ht="16.5" customHeight="1">
      <c r="A685" s="62"/>
      <c r="B685" s="62"/>
      <c r="C685" s="62"/>
      <c r="D685" s="62"/>
      <c r="E685" s="62"/>
      <c r="F685" s="63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4"/>
      <c r="AG685" s="64"/>
      <c r="AH685" s="64"/>
      <c r="AI685" s="64"/>
      <c r="AJ685" s="64"/>
      <c r="AK685" s="64"/>
      <c r="AL685" s="64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</row>
    <row r="686" ht="16.5" customHeight="1">
      <c r="A686" s="62"/>
      <c r="B686" s="62"/>
      <c r="C686" s="62"/>
      <c r="D686" s="62"/>
      <c r="E686" s="62"/>
      <c r="F686" s="63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4"/>
      <c r="AG686" s="64"/>
      <c r="AH686" s="64"/>
      <c r="AI686" s="64"/>
      <c r="AJ686" s="64"/>
      <c r="AK686" s="64"/>
      <c r="AL686" s="64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</row>
    <row r="687" ht="16.5" customHeight="1">
      <c r="A687" s="62"/>
      <c r="B687" s="62"/>
      <c r="C687" s="62"/>
      <c r="D687" s="62"/>
      <c r="E687" s="62"/>
      <c r="F687" s="63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4"/>
      <c r="AG687" s="64"/>
      <c r="AH687" s="64"/>
      <c r="AI687" s="64"/>
      <c r="AJ687" s="64"/>
      <c r="AK687" s="64"/>
      <c r="AL687" s="64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</row>
    <row r="688" ht="16.5" customHeight="1">
      <c r="A688" s="62"/>
      <c r="B688" s="62"/>
      <c r="C688" s="62"/>
      <c r="D688" s="62"/>
      <c r="E688" s="62"/>
      <c r="F688" s="63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4"/>
      <c r="AG688" s="64"/>
      <c r="AH688" s="64"/>
      <c r="AI688" s="64"/>
      <c r="AJ688" s="64"/>
      <c r="AK688" s="64"/>
      <c r="AL688" s="64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</row>
    <row r="689" ht="16.5" customHeight="1">
      <c r="A689" s="62"/>
      <c r="B689" s="62"/>
      <c r="C689" s="62"/>
      <c r="D689" s="62"/>
      <c r="E689" s="62"/>
      <c r="F689" s="63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4"/>
      <c r="AG689" s="64"/>
      <c r="AH689" s="64"/>
      <c r="AI689" s="64"/>
      <c r="AJ689" s="64"/>
      <c r="AK689" s="64"/>
      <c r="AL689" s="64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</row>
    <row r="690" ht="16.5" customHeight="1">
      <c r="A690" s="62"/>
      <c r="B690" s="62"/>
      <c r="C690" s="62"/>
      <c r="D690" s="62"/>
      <c r="E690" s="62"/>
      <c r="F690" s="63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4"/>
      <c r="AG690" s="64"/>
      <c r="AH690" s="64"/>
      <c r="AI690" s="64"/>
      <c r="AJ690" s="64"/>
      <c r="AK690" s="64"/>
      <c r="AL690" s="64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</row>
    <row r="691" ht="16.5" customHeight="1">
      <c r="A691" s="62"/>
      <c r="B691" s="62"/>
      <c r="C691" s="62"/>
      <c r="D691" s="62"/>
      <c r="E691" s="62"/>
      <c r="F691" s="63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4"/>
      <c r="AG691" s="64"/>
      <c r="AH691" s="64"/>
      <c r="AI691" s="64"/>
      <c r="AJ691" s="64"/>
      <c r="AK691" s="64"/>
      <c r="AL691" s="64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</row>
    <row r="692" ht="16.5" customHeight="1">
      <c r="A692" s="62"/>
      <c r="B692" s="62"/>
      <c r="C692" s="62"/>
      <c r="D692" s="62"/>
      <c r="E692" s="62"/>
      <c r="F692" s="63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4"/>
      <c r="AG692" s="64"/>
      <c r="AH692" s="64"/>
      <c r="AI692" s="64"/>
      <c r="AJ692" s="64"/>
      <c r="AK692" s="64"/>
      <c r="AL692" s="64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</row>
    <row r="693" ht="16.5" customHeight="1">
      <c r="A693" s="62"/>
      <c r="B693" s="62"/>
      <c r="C693" s="62"/>
      <c r="D693" s="62"/>
      <c r="E693" s="62"/>
      <c r="F693" s="63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4"/>
      <c r="AG693" s="64"/>
      <c r="AH693" s="64"/>
      <c r="AI693" s="64"/>
      <c r="AJ693" s="64"/>
      <c r="AK693" s="64"/>
      <c r="AL693" s="64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</row>
    <row r="694" ht="16.5" customHeight="1">
      <c r="A694" s="62"/>
      <c r="B694" s="62"/>
      <c r="C694" s="62"/>
      <c r="D694" s="62"/>
      <c r="E694" s="62"/>
      <c r="F694" s="63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4"/>
      <c r="AG694" s="64"/>
      <c r="AH694" s="64"/>
      <c r="AI694" s="64"/>
      <c r="AJ694" s="64"/>
      <c r="AK694" s="64"/>
      <c r="AL694" s="64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</row>
    <row r="695" ht="16.5" customHeight="1">
      <c r="A695" s="62"/>
      <c r="B695" s="62"/>
      <c r="C695" s="62"/>
      <c r="D695" s="62"/>
      <c r="E695" s="62"/>
      <c r="F695" s="63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4"/>
      <c r="AG695" s="64"/>
      <c r="AH695" s="64"/>
      <c r="AI695" s="64"/>
      <c r="AJ695" s="64"/>
      <c r="AK695" s="64"/>
      <c r="AL695" s="64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</row>
    <row r="696" ht="16.5" customHeight="1">
      <c r="A696" s="62"/>
      <c r="B696" s="62"/>
      <c r="C696" s="62"/>
      <c r="D696" s="62"/>
      <c r="E696" s="62"/>
      <c r="F696" s="63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4"/>
      <c r="AG696" s="64"/>
      <c r="AH696" s="64"/>
      <c r="AI696" s="64"/>
      <c r="AJ696" s="64"/>
      <c r="AK696" s="64"/>
      <c r="AL696" s="64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</row>
    <row r="697" ht="16.5" customHeight="1">
      <c r="A697" s="62"/>
      <c r="B697" s="62"/>
      <c r="C697" s="62"/>
      <c r="D697" s="62"/>
      <c r="E697" s="62"/>
      <c r="F697" s="63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4"/>
      <c r="AG697" s="64"/>
      <c r="AH697" s="64"/>
      <c r="AI697" s="64"/>
      <c r="AJ697" s="64"/>
      <c r="AK697" s="64"/>
      <c r="AL697" s="64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</row>
    <row r="698" ht="16.5" customHeight="1">
      <c r="A698" s="62"/>
      <c r="B698" s="62"/>
      <c r="C698" s="62"/>
      <c r="D698" s="62"/>
      <c r="E698" s="62"/>
      <c r="F698" s="63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4"/>
      <c r="AG698" s="64"/>
      <c r="AH698" s="64"/>
      <c r="AI698" s="64"/>
      <c r="AJ698" s="64"/>
      <c r="AK698" s="64"/>
      <c r="AL698" s="64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</row>
    <row r="699" ht="16.5" customHeight="1">
      <c r="A699" s="62"/>
      <c r="B699" s="62"/>
      <c r="C699" s="62"/>
      <c r="D699" s="62"/>
      <c r="E699" s="62"/>
      <c r="F699" s="63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4"/>
      <c r="AG699" s="64"/>
      <c r="AH699" s="64"/>
      <c r="AI699" s="64"/>
      <c r="AJ699" s="64"/>
      <c r="AK699" s="64"/>
      <c r="AL699" s="64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</row>
    <row r="700" ht="16.5" customHeight="1">
      <c r="A700" s="62"/>
      <c r="B700" s="62"/>
      <c r="C700" s="62"/>
      <c r="D700" s="62"/>
      <c r="E700" s="62"/>
      <c r="F700" s="63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4"/>
      <c r="AG700" s="64"/>
      <c r="AH700" s="64"/>
      <c r="AI700" s="64"/>
      <c r="AJ700" s="64"/>
      <c r="AK700" s="64"/>
      <c r="AL700" s="64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</row>
    <row r="701" ht="16.5" customHeight="1">
      <c r="A701" s="62"/>
      <c r="B701" s="62"/>
      <c r="C701" s="62"/>
      <c r="D701" s="62"/>
      <c r="E701" s="62"/>
      <c r="F701" s="63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4"/>
      <c r="AG701" s="64"/>
      <c r="AH701" s="64"/>
      <c r="AI701" s="64"/>
      <c r="AJ701" s="64"/>
      <c r="AK701" s="64"/>
      <c r="AL701" s="64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</row>
    <row r="702" ht="16.5" customHeight="1">
      <c r="A702" s="62"/>
      <c r="B702" s="62"/>
      <c r="C702" s="62"/>
      <c r="D702" s="62"/>
      <c r="E702" s="62"/>
      <c r="F702" s="63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4"/>
      <c r="AG702" s="64"/>
      <c r="AH702" s="64"/>
      <c r="AI702" s="64"/>
      <c r="AJ702" s="64"/>
      <c r="AK702" s="64"/>
      <c r="AL702" s="64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</row>
    <row r="703" ht="16.5" customHeight="1">
      <c r="A703" s="62"/>
      <c r="B703" s="62"/>
      <c r="C703" s="62"/>
      <c r="D703" s="62"/>
      <c r="E703" s="62"/>
      <c r="F703" s="63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4"/>
      <c r="AG703" s="64"/>
      <c r="AH703" s="64"/>
      <c r="AI703" s="64"/>
      <c r="AJ703" s="64"/>
      <c r="AK703" s="64"/>
      <c r="AL703" s="64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</row>
    <row r="704" ht="16.5" customHeight="1">
      <c r="A704" s="62"/>
      <c r="B704" s="62"/>
      <c r="C704" s="62"/>
      <c r="D704" s="62"/>
      <c r="E704" s="62"/>
      <c r="F704" s="63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4"/>
      <c r="AG704" s="64"/>
      <c r="AH704" s="64"/>
      <c r="AI704" s="64"/>
      <c r="AJ704" s="64"/>
      <c r="AK704" s="64"/>
      <c r="AL704" s="64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</row>
    <row r="705" ht="16.5" customHeight="1">
      <c r="A705" s="62"/>
      <c r="B705" s="62"/>
      <c r="C705" s="62"/>
      <c r="D705" s="62"/>
      <c r="E705" s="62"/>
      <c r="F705" s="63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4"/>
      <c r="AG705" s="64"/>
      <c r="AH705" s="64"/>
      <c r="AI705" s="64"/>
      <c r="AJ705" s="64"/>
      <c r="AK705" s="64"/>
      <c r="AL705" s="64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</row>
    <row r="706" ht="16.5" customHeight="1">
      <c r="A706" s="62"/>
      <c r="B706" s="62"/>
      <c r="C706" s="62"/>
      <c r="D706" s="62"/>
      <c r="E706" s="62"/>
      <c r="F706" s="63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4"/>
      <c r="AG706" s="64"/>
      <c r="AH706" s="64"/>
      <c r="AI706" s="64"/>
      <c r="AJ706" s="64"/>
      <c r="AK706" s="64"/>
      <c r="AL706" s="64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</row>
    <row r="707" ht="16.5" customHeight="1">
      <c r="A707" s="62"/>
      <c r="B707" s="62"/>
      <c r="C707" s="62"/>
      <c r="D707" s="62"/>
      <c r="E707" s="62"/>
      <c r="F707" s="63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4"/>
      <c r="AG707" s="64"/>
      <c r="AH707" s="64"/>
      <c r="AI707" s="64"/>
      <c r="AJ707" s="64"/>
      <c r="AK707" s="64"/>
      <c r="AL707" s="64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</row>
    <row r="708" ht="16.5" customHeight="1">
      <c r="A708" s="62"/>
      <c r="B708" s="62"/>
      <c r="C708" s="62"/>
      <c r="D708" s="62"/>
      <c r="E708" s="62"/>
      <c r="F708" s="63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4"/>
      <c r="AG708" s="64"/>
      <c r="AH708" s="64"/>
      <c r="AI708" s="64"/>
      <c r="AJ708" s="64"/>
      <c r="AK708" s="64"/>
      <c r="AL708" s="64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</row>
    <row r="709" ht="16.5" customHeight="1">
      <c r="A709" s="62"/>
      <c r="B709" s="62"/>
      <c r="C709" s="62"/>
      <c r="D709" s="62"/>
      <c r="E709" s="62"/>
      <c r="F709" s="63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4"/>
      <c r="AG709" s="64"/>
      <c r="AH709" s="64"/>
      <c r="AI709" s="64"/>
      <c r="AJ709" s="64"/>
      <c r="AK709" s="64"/>
      <c r="AL709" s="64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</row>
    <row r="710" ht="16.5" customHeight="1">
      <c r="A710" s="62"/>
      <c r="B710" s="62"/>
      <c r="C710" s="62"/>
      <c r="D710" s="62"/>
      <c r="E710" s="62"/>
      <c r="F710" s="63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4"/>
      <c r="AG710" s="64"/>
      <c r="AH710" s="64"/>
      <c r="AI710" s="64"/>
      <c r="AJ710" s="64"/>
      <c r="AK710" s="64"/>
      <c r="AL710" s="64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</row>
    <row r="711" ht="16.5" customHeight="1">
      <c r="A711" s="62"/>
      <c r="B711" s="62"/>
      <c r="C711" s="62"/>
      <c r="D711" s="62"/>
      <c r="E711" s="62"/>
      <c r="F711" s="63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4"/>
      <c r="AG711" s="64"/>
      <c r="AH711" s="64"/>
      <c r="AI711" s="64"/>
      <c r="AJ711" s="64"/>
      <c r="AK711" s="64"/>
      <c r="AL711" s="64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</row>
    <row r="712" ht="16.5" customHeight="1">
      <c r="A712" s="62"/>
      <c r="B712" s="62"/>
      <c r="C712" s="62"/>
      <c r="D712" s="62"/>
      <c r="E712" s="62"/>
      <c r="F712" s="63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4"/>
      <c r="AG712" s="64"/>
      <c r="AH712" s="64"/>
      <c r="AI712" s="64"/>
      <c r="AJ712" s="64"/>
      <c r="AK712" s="64"/>
      <c r="AL712" s="64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</row>
    <row r="713" ht="16.5" customHeight="1">
      <c r="A713" s="62"/>
      <c r="B713" s="62"/>
      <c r="C713" s="62"/>
      <c r="D713" s="62"/>
      <c r="E713" s="62"/>
      <c r="F713" s="63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4"/>
      <c r="AG713" s="64"/>
      <c r="AH713" s="64"/>
      <c r="AI713" s="64"/>
      <c r="AJ713" s="64"/>
      <c r="AK713" s="64"/>
      <c r="AL713" s="64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</row>
    <row r="714" ht="16.5" customHeight="1">
      <c r="A714" s="62"/>
      <c r="B714" s="62"/>
      <c r="C714" s="62"/>
      <c r="D714" s="62"/>
      <c r="E714" s="62"/>
      <c r="F714" s="63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4"/>
      <c r="AG714" s="64"/>
      <c r="AH714" s="64"/>
      <c r="AI714" s="64"/>
      <c r="AJ714" s="64"/>
      <c r="AK714" s="64"/>
      <c r="AL714" s="64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</row>
    <row r="715" ht="16.5" customHeight="1">
      <c r="A715" s="62"/>
      <c r="B715" s="62"/>
      <c r="C715" s="62"/>
      <c r="D715" s="62"/>
      <c r="E715" s="62"/>
      <c r="F715" s="63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4"/>
      <c r="AG715" s="64"/>
      <c r="AH715" s="64"/>
      <c r="AI715" s="64"/>
      <c r="AJ715" s="64"/>
      <c r="AK715" s="64"/>
      <c r="AL715" s="64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</row>
    <row r="716" ht="16.5" customHeight="1">
      <c r="A716" s="62"/>
      <c r="B716" s="62"/>
      <c r="C716" s="62"/>
      <c r="D716" s="62"/>
      <c r="E716" s="62"/>
      <c r="F716" s="63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4"/>
      <c r="AG716" s="64"/>
      <c r="AH716" s="64"/>
      <c r="AI716" s="64"/>
      <c r="AJ716" s="64"/>
      <c r="AK716" s="64"/>
      <c r="AL716" s="64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</row>
    <row r="717" ht="16.5" customHeight="1">
      <c r="A717" s="62"/>
      <c r="B717" s="62"/>
      <c r="C717" s="62"/>
      <c r="D717" s="62"/>
      <c r="E717" s="62"/>
      <c r="F717" s="63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4"/>
      <c r="AG717" s="64"/>
      <c r="AH717" s="64"/>
      <c r="AI717" s="64"/>
      <c r="AJ717" s="64"/>
      <c r="AK717" s="64"/>
      <c r="AL717" s="64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</row>
    <row r="718" ht="16.5" customHeight="1">
      <c r="A718" s="62"/>
      <c r="B718" s="62"/>
      <c r="C718" s="62"/>
      <c r="D718" s="62"/>
      <c r="E718" s="62"/>
      <c r="F718" s="63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4"/>
      <c r="AG718" s="64"/>
      <c r="AH718" s="64"/>
      <c r="AI718" s="64"/>
      <c r="AJ718" s="64"/>
      <c r="AK718" s="64"/>
      <c r="AL718" s="64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</row>
    <row r="719" ht="16.5" customHeight="1">
      <c r="A719" s="62"/>
      <c r="B719" s="62"/>
      <c r="C719" s="62"/>
      <c r="D719" s="62"/>
      <c r="E719" s="62"/>
      <c r="F719" s="63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4"/>
      <c r="AG719" s="64"/>
      <c r="AH719" s="64"/>
      <c r="AI719" s="64"/>
      <c r="AJ719" s="64"/>
      <c r="AK719" s="64"/>
      <c r="AL719" s="64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</row>
    <row r="720" ht="16.5" customHeight="1">
      <c r="A720" s="62"/>
      <c r="B720" s="62"/>
      <c r="C720" s="62"/>
      <c r="D720" s="62"/>
      <c r="E720" s="62"/>
      <c r="F720" s="63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4"/>
      <c r="AG720" s="64"/>
      <c r="AH720" s="64"/>
      <c r="AI720" s="64"/>
      <c r="AJ720" s="64"/>
      <c r="AK720" s="64"/>
      <c r="AL720" s="64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</row>
    <row r="721" ht="16.5" customHeight="1">
      <c r="A721" s="62"/>
      <c r="B721" s="62"/>
      <c r="C721" s="62"/>
      <c r="D721" s="62"/>
      <c r="E721" s="62"/>
      <c r="F721" s="63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4"/>
      <c r="AG721" s="64"/>
      <c r="AH721" s="64"/>
      <c r="AI721" s="64"/>
      <c r="AJ721" s="64"/>
      <c r="AK721" s="64"/>
      <c r="AL721" s="64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</row>
    <row r="722" ht="16.5" customHeight="1">
      <c r="A722" s="62"/>
      <c r="B722" s="62"/>
      <c r="C722" s="62"/>
      <c r="D722" s="62"/>
      <c r="E722" s="62"/>
      <c r="F722" s="63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4"/>
      <c r="AG722" s="64"/>
      <c r="AH722" s="64"/>
      <c r="AI722" s="64"/>
      <c r="AJ722" s="64"/>
      <c r="AK722" s="64"/>
      <c r="AL722" s="64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</row>
    <row r="723" ht="16.5" customHeight="1">
      <c r="A723" s="62"/>
      <c r="B723" s="62"/>
      <c r="C723" s="62"/>
      <c r="D723" s="62"/>
      <c r="E723" s="62"/>
      <c r="F723" s="63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4"/>
      <c r="AG723" s="64"/>
      <c r="AH723" s="64"/>
      <c r="AI723" s="64"/>
      <c r="AJ723" s="64"/>
      <c r="AK723" s="64"/>
      <c r="AL723" s="64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</row>
    <row r="724" ht="16.5" customHeight="1">
      <c r="A724" s="62"/>
      <c r="B724" s="62"/>
      <c r="C724" s="62"/>
      <c r="D724" s="62"/>
      <c r="E724" s="62"/>
      <c r="F724" s="63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4"/>
      <c r="AG724" s="64"/>
      <c r="AH724" s="64"/>
      <c r="AI724" s="64"/>
      <c r="AJ724" s="64"/>
      <c r="AK724" s="64"/>
      <c r="AL724" s="64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</row>
    <row r="725" ht="16.5" customHeight="1">
      <c r="A725" s="62"/>
      <c r="B725" s="62"/>
      <c r="C725" s="62"/>
      <c r="D725" s="62"/>
      <c r="E725" s="62"/>
      <c r="F725" s="63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4"/>
      <c r="AG725" s="64"/>
      <c r="AH725" s="64"/>
      <c r="AI725" s="64"/>
      <c r="AJ725" s="64"/>
      <c r="AK725" s="64"/>
      <c r="AL725" s="64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</row>
    <row r="726" ht="16.5" customHeight="1">
      <c r="A726" s="62"/>
      <c r="B726" s="62"/>
      <c r="C726" s="62"/>
      <c r="D726" s="62"/>
      <c r="E726" s="62"/>
      <c r="F726" s="63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4"/>
      <c r="AG726" s="64"/>
      <c r="AH726" s="64"/>
      <c r="AI726" s="64"/>
      <c r="AJ726" s="64"/>
      <c r="AK726" s="64"/>
      <c r="AL726" s="64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</row>
    <row r="727" ht="16.5" customHeight="1">
      <c r="A727" s="62"/>
      <c r="B727" s="62"/>
      <c r="C727" s="62"/>
      <c r="D727" s="62"/>
      <c r="E727" s="62"/>
      <c r="F727" s="63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4"/>
      <c r="AG727" s="64"/>
      <c r="AH727" s="64"/>
      <c r="AI727" s="64"/>
      <c r="AJ727" s="64"/>
      <c r="AK727" s="64"/>
      <c r="AL727" s="64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</row>
    <row r="728" ht="16.5" customHeight="1">
      <c r="A728" s="62"/>
      <c r="B728" s="62"/>
      <c r="C728" s="62"/>
      <c r="D728" s="62"/>
      <c r="E728" s="62"/>
      <c r="F728" s="63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4"/>
      <c r="AG728" s="64"/>
      <c r="AH728" s="64"/>
      <c r="AI728" s="64"/>
      <c r="AJ728" s="64"/>
      <c r="AK728" s="64"/>
      <c r="AL728" s="64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</row>
    <row r="729" ht="16.5" customHeight="1">
      <c r="A729" s="62"/>
      <c r="B729" s="62"/>
      <c r="C729" s="62"/>
      <c r="D729" s="62"/>
      <c r="E729" s="62"/>
      <c r="F729" s="63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4"/>
      <c r="AG729" s="64"/>
      <c r="AH729" s="64"/>
      <c r="AI729" s="64"/>
      <c r="AJ729" s="64"/>
      <c r="AK729" s="64"/>
      <c r="AL729" s="64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</row>
    <row r="730" ht="16.5" customHeight="1">
      <c r="A730" s="62"/>
      <c r="B730" s="62"/>
      <c r="C730" s="62"/>
      <c r="D730" s="62"/>
      <c r="E730" s="62"/>
      <c r="F730" s="63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4"/>
      <c r="AG730" s="64"/>
      <c r="AH730" s="64"/>
      <c r="AI730" s="64"/>
      <c r="AJ730" s="64"/>
      <c r="AK730" s="64"/>
      <c r="AL730" s="64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</row>
    <row r="731" ht="16.5" customHeight="1">
      <c r="A731" s="62"/>
      <c r="B731" s="62"/>
      <c r="C731" s="62"/>
      <c r="D731" s="62"/>
      <c r="E731" s="62"/>
      <c r="F731" s="63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4"/>
      <c r="AG731" s="64"/>
      <c r="AH731" s="64"/>
      <c r="AI731" s="64"/>
      <c r="AJ731" s="64"/>
      <c r="AK731" s="64"/>
      <c r="AL731" s="64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</row>
    <row r="732" ht="16.5" customHeight="1">
      <c r="A732" s="62"/>
      <c r="B732" s="62"/>
      <c r="C732" s="62"/>
      <c r="D732" s="62"/>
      <c r="E732" s="62"/>
      <c r="F732" s="63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4"/>
      <c r="AG732" s="64"/>
      <c r="AH732" s="64"/>
      <c r="AI732" s="64"/>
      <c r="AJ732" s="64"/>
      <c r="AK732" s="64"/>
      <c r="AL732" s="64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</row>
    <row r="733" ht="16.5" customHeight="1">
      <c r="A733" s="62"/>
      <c r="B733" s="62"/>
      <c r="C733" s="62"/>
      <c r="D733" s="62"/>
      <c r="E733" s="62"/>
      <c r="F733" s="63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4"/>
      <c r="AG733" s="64"/>
      <c r="AH733" s="64"/>
      <c r="AI733" s="64"/>
      <c r="AJ733" s="64"/>
      <c r="AK733" s="64"/>
      <c r="AL733" s="64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</row>
    <row r="734" ht="16.5" customHeight="1">
      <c r="A734" s="62"/>
      <c r="B734" s="62"/>
      <c r="C734" s="62"/>
      <c r="D734" s="62"/>
      <c r="E734" s="62"/>
      <c r="F734" s="63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4"/>
      <c r="AG734" s="64"/>
      <c r="AH734" s="64"/>
      <c r="AI734" s="64"/>
      <c r="AJ734" s="64"/>
      <c r="AK734" s="64"/>
      <c r="AL734" s="64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</row>
    <row r="735" ht="16.5" customHeight="1">
      <c r="A735" s="62"/>
      <c r="B735" s="62"/>
      <c r="C735" s="62"/>
      <c r="D735" s="62"/>
      <c r="E735" s="62"/>
      <c r="F735" s="63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4"/>
      <c r="AG735" s="64"/>
      <c r="AH735" s="64"/>
      <c r="AI735" s="64"/>
      <c r="AJ735" s="64"/>
      <c r="AK735" s="64"/>
      <c r="AL735" s="64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</row>
    <row r="736" ht="16.5" customHeight="1">
      <c r="A736" s="62"/>
      <c r="B736" s="62"/>
      <c r="C736" s="62"/>
      <c r="D736" s="62"/>
      <c r="E736" s="62"/>
      <c r="F736" s="63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4"/>
      <c r="AG736" s="64"/>
      <c r="AH736" s="64"/>
      <c r="AI736" s="64"/>
      <c r="AJ736" s="64"/>
      <c r="AK736" s="64"/>
      <c r="AL736" s="64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</row>
    <row r="737" ht="16.5" customHeight="1">
      <c r="A737" s="62"/>
      <c r="B737" s="62"/>
      <c r="C737" s="62"/>
      <c r="D737" s="62"/>
      <c r="E737" s="62"/>
      <c r="F737" s="63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4"/>
      <c r="AG737" s="64"/>
      <c r="AH737" s="64"/>
      <c r="AI737" s="64"/>
      <c r="AJ737" s="64"/>
      <c r="AK737" s="64"/>
      <c r="AL737" s="64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</row>
    <row r="738" ht="16.5" customHeight="1">
      <c r="A738" s="62"/>
      <c r="B738" s="62"/>
      <c r="C738" s="62"/>
      <c r="D738" s="62"/>
      <c r="E738" s="62"/>
      <c r="F738" s="63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4"/>
      <c r="AG738" s="64"/>
      <c r="AH738" s="64"/>
      <c r="AI738" s="64"/>
      <c r="AJ738" s="64"/>
      <c r="AK738" s="64"/>
      <c r="AL738" s="64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</row>
    <row r="739" ht="16.5" customHeight="1">
      <c r="A739" s="62"/>
      <c r="B739" s="62"/>
      <c r="C739" s="62"/>
      <c r="D739" s="62"/>
      <c r="E739" s="62"/>
      <c r="F739" s="63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4"/>
      <c r="AG739" s="64"/>
      <c r="AH739" s="64"/>
      <c r="AI739" s="64"/>
      <c r="AJ739" s="64"/>
      <c r="AK739" s="64"/>
      <c r="AL739" s="64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</row>
    <row r="740" ht="16.5" customHeight="1">
      <c r="A740" s="62"/>
      <c r="B740" s="62"/>
      <c r="C740" s="62"/>
      <c r="D740" s="62"/>
      <c r="E740" s="62"/>
      <c r="F740" s="63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4"/>
      <c r="AG740" s="64"/>
      <c r="AH740" s="64"/>
      <c r="AI740" s="64"/>
      <c r="AJ740" s="64"/>
      <c r="AK740" s="64"/>
      <c r="AL740" s="64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</row>
    <row r="741" ht="16.5" customHeight="1">
      <c r="A741" s="62"/>
      <c r="B741" s="62"/>
      <c r="C741" s="62"/>
      <c r="D741" s="62"/>
      <c r="E741" s="62"/>
      <c r="F741" s="63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4"/>
      <c r="AG741" s="64"/>
      <c r="AH741" s="64"/>
      <c r="AI741" s="64"/>
      <c r="AJ741" s="64"/>
      <c r="AK741" s="64"/>
      <c r="AL741" s="64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</row>
    <row r="742" ht="16.5" customHeight="1">
      <c r="A742" s="62"/>
      <c r="B742" s="62"/>
      <c r="C742" s="62"/>
      <c r="D742" s="62"/>
      <c r="E742" s="62"/>
      <c r="F742" s="63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4"/>
      <c r="AG742" s="64"/>
      <c r="AH742" s="64"/>
      <c r="AI742" s="64"/>
      <c r="AJ742" s="64"/>
      <c r="AK742" s="64"/>
      <c r="AL742" s="64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</row>
    <row r="743" ht="16.5" customHeight="1">
      <c r="A743" s="62"/>
      <c r="B743" s="62"/>
      <c r="C743" s="62"/>
      <c r="D743" s="62"/>
      <c r="E743" s="62"/>
      <c r="F743" s="63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4"/>
      <c r="AG743" s="64"/>
      <c r="AH743" s="64"/>
      <c r="AI743" s="64"/>
      <c r="AJ743" s="64"/>
      <c r="AK743" s="64"/>
      <c r="AL743" s="64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</row>
    <row r="744" ht="16.5" customHeight="1">
      <c r="A744" s="62"/>
      <c r="B744" s="62"/>
      <c r="C744" s="62"/>
      <c r="D744" s="62"/>
      <c r="E744" s="62"/>
      <c r="F744" s="63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4"/>
      <c r="AG744" s="64"/>
      <c r="AH744" s="64"/>
      <c r="AI744" s="64"/>
      <c r="AJ744" s="64"/>
      <c r="AK744" s="64"/>
      <c r="AL744" s="64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</row>
    <row r="745" ht="16.5" customHeight="1">
      <c r="A745" s="62"/>
      <c r="B745" s="62"/>
      <c r="C745" s="62"/>
      <c r="D745" s="62"/>
      <c r="E745" s="62"/>
      <c r="F745" s="63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4"/>
      <c r="AG745" s="64"/>
      <c r="AH745" s="64"/>
      <c r="AI745" s="64"/>
      <c r="AJ745" s="64"/>
      <c r="AK745" s="64"/>
      <c r="AL745" s="64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</row>
    <row r="746" ht="16.5" customHeight="1">
      <c r="A746" s="62"/>
      <c r="B746" s="62"/>
      <c r="C746" s="62"/>
      <c r="D746" s="62"/>
      <c r="E746" s="62"/>
      <c r="F746" s="63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4"/>
      <c r="AG746" s="64"/>
      <c r="AH746" s="64"/>
      <c r="AI746" s="64"/>
      <c r="AJ746" s="64"/>
      <c r="AK746" s="64"/>
      <c r="AL746" s="64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</row>
    <row r="747" ht="16.5" customHeight="1">
      <c r="A747" s="62"/>
      <c r="B747" s="62"/>
      <c r="C747" s="62"/>
      <c r="D747" s="62"/>
      <c r="E747" s="62"/>
      <c r="F747" s="63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4"/>
      <c r="AG747" s="64"/>
      <c r="AH747" s="64"/>
      <c r="AI747" s="64"/>
      <c r="AJ747" s="64"/>
      <c r="AK747" s="64"/>
      <c r="AL747" s="64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</row>
    <row r="748" ht="16.5" customHeight="1">
      <c r="A748" s="62"/>
      <c r="B748" s="62"/>
      <c r="C748" s="62"/>
      <c r="D748" s="62"/>
      <c r="E748" s="62"/>
      <c r="F748" s="63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4"/>
      <c r="AG748" s="64"/>
      <c r="AH748" s="64"/>
      <c r="AI748" s="64"/>
      <c r="AJ748" s="64"/>
      <c r="AK748" s="64"/>
      <c r="AL748" s="64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</row>
    <row r="749" ht="16.5" customHeight="1">
      <c r="A749" s="62"/>
      <c r="B749" s="62"/>
      <c r="C749" s="62"/>
      <c r="D749" s="62"/>
      <c r="E749" s="62"/>
      <c r="F749" s="63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4"/>
      <c r="AG749" s="64"/>
      <c r="AH749" s="64"/>
      <c r="AI749" s="64"/>
      <c r="AJ749" s="64"/>
      <c r="AK749" s="64"/>
      <c r="AL749" s="64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</row>
    <row r="750" ht="16.5" customHeight="1">
      <c r="A750" s="62"/>
      <c r="B750" s="62"/>
      <c r="C750" s="62"/>
      <c r="D750" s="62"/>
      <c r="E750" s="62"/>
      <c r="F750" s="63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4"/>
      <c r="AG750" s="64"/>
      <c r="AH750" s="64"/>
      <c r="AI750" s="64"/>
      <c r="AJ750" s="64"/>
      <c r="AK750" s="64"/>
      <c r="AL750" s="64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</row>
    <row r="751" ht="16.5" customHeight="1">
      <c r="A751" s="62"/>
      <c r="B751" s="62"/>
      <c r="C751" s="62"/>
      <c r="D751" s="62"/>
      <c r="E751" s="62"/>
      <c r="F751" s="63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4"/>
      <c r="AG751" s="64"/>
      <c r="AH751" s="64"/>
      <c r="AI751" s="64"/>
      <c r="AJ751" s="64"/>
      <c r="AK751" s="64"/>
      <c r="AL751" s="64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</row>
    <row r="752" ht="16.5" customHeight="1">
      <c r="A752" s="62"/>
      <c r="B752" s="62"/>
      <c r="C752" s="62"/>
      <c r="D752" s="62"/>
      <c r="E752" s="62"/>
      <c r="F752" s="63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4"/>
      <c r="AG752" s="64"/>
      <c r="AH752" s="64"/>
      <c r="AI752" s="64"/>
      <c r="AJ752" s="64"/>
      <c r="AK752" s="64"/>
      <c r="AL752" s="64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</row>
    <row r="753" ht="16.5" customHeight="1">
      <c r="A753" s="62"/>
      <c r="B753" s="62"/>
      <c r="C753" s="62"/>
      <c r="D753" s="62"/>
      <c r="E753" s="62"/>
      <c r="F753" s="63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4"/>
      <c r="AG753" s="64"/>
      <c r="AH753" s="64"/>
      <c r="AI753" s="64"/>
      <c r="AJ753" s="64"/>
      <c r="AK753" s="64"/>
      <c r="AL753" s="64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</row>
    <row r="754" ht="16.5" customHeight="1">
      <c r="A754" s="62"/>
      <c r="B754" s="62"/>
      <c r="C754" s="62"/>
      <c r="D754" s="62"/>
      <c r="E754" s="62"/>
      <c r="F754" s="63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4"/>
      <c r="AG754" s="64"/>
      <c r="AH754" s="64"/>
      <c r="AI754" s="64"/>
      <c r="AJ754" s="64"/>
      <c r="AK754" s="64"/>
      <c r="AL754" s="64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</row>
    <row r="755" ht="16.5" customHeight="1">
      <c r="A755" s="62"/>
      <c r="B755" s="62"/>
      <c r="C755" s="62"/>
      <c r="D755" s="62"/>
      <c r="E755" s="62"/>
      <c r="F755" s="63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4"/>
      <c r="AG755" s="64"/>
      <c r="AH755" s="64"/>
      <c r="AI755" s="64"/>
      <c r="AJ755" s="64"/>
      <c r="AK755" s="64"/>
      <c r="AL755" s="64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</row>
    <row r="756" ht="16.5" customHeight="1">
      <c r="A756" s="62"/>
      <c r="B756" s="62"/>
      <c r="C756" s="62"/>
      <c r="D756" s="62"/>
      <c r="E756" s="62"/>
      <c r="F756" s="63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4"/>
      <c r="AG756" s="64"/>
      <c r="AH756" s="64"/>
      <c r="AI756" s="64"/>
      <c r="AJ756" s="64"/>
      <c r="AK756" s="64"/>
      <c r="AL756" s="64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</row>
    <row r="757" ht="16.5" customHeight="1">
      <c r="A757" s="62"/>
      <c r="B757" s="62"/>
      <c r="C757" s="62"/>
      <c r="D757" s="62"/>
      <c r="E757" s="62"/>
      <c r="F757" s="63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4"/>
      <c r="AG757" s="64"/>
      <c r="AH757" s="64"/>
      <c r="AI757" s="64"/>
      <c r="AJ757" s="64"/>
      <c r="AK757" s="64"/>
      <c r="AL757" s="64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</row>
    <row r="758" ht="16.5" customHeight="1">
      <c r="A758" s="62"/>
      <c r="B758" s="62"/>
      <c r="C758" s="62"/>
      <c r="D758" s="62"/>
      <c r="E758" s="62"/>
      <c r="F758" s="63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4"/>
      <c r="AG758" s="64"/>
      <c r="AH758" s="64"/>
      <c r="AI758" s="64"/>
      <c r="AJ758" s="64"/>
      <c r="AK758" s="64"/>
      <c r="AL758" s="64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</row>
    <row r="759" ht="16.5" customHeight="1">
      <c r="A759" s="62"/>
      <c r="B759" s="62"/>
      <c r="C759" s="62"/>
      <c r="D759" s="62"/>
      <c r="E759" s="62"/>
      <c r="F759" s="63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4"/>
      <c r="AG759" s="64"/>
      <c r="AH759" s="64"/>
      <c r="AI759" s="64"/>
      <c r="AJ759" s="64"/>
      <c r="AK759" s="64"/>
      <c r="AL759" s="64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</row>
    <row r="760" ht="16.5" customHeight="1">
      <c r="A760" s="62"/>
      <c r="B760" s="62"/>
      <c r="C760" s="62"/>
      <c r="D760" s="62"/>
      <c r="E760" s="62"/>
      <c r="F760" s="63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4"/>
      <c r="AG760" s="64"/>
      <c r="AH760" s="64"/>
      <c r="AI760" s="64"/>
      <c r="AJ760" s="64"/>
      <c r="AK760" s="64"/>
      <c r="AL760" s="64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</row>
    <row r="761" ht="16.5" customHeight="1">
      <c r="A761" s="62"/>
      <c r="B761" s="62"/>
      <c r="C761" s="62"/>
      <c r="D761" s="62"/>
      <c r="E761" s="62"/>
      <c r="F761" s="63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4"/>
      <c r="AG761" s="64"/>
      <c r="AH761" s="64"/>
      <c r="AI761" s="64"/>
      <c r="AJ761" s="64"/>
      <c r="AK761" s="64"/>
      <c r="AL761" s="64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</row>
    <row r="762" ht="16.5" customHeight="1">
      <c r="A762" s="62"/>
      <c r="B762" s="62"/>
      <c r="C762" s="62"/>
      <c r="D762" s="62"/>
      <c r="E762" s="62"/>
      <c r="F762" s="63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4"/>
      <c r="AG762" s="64"/>
      <c r="AH762" s="64"/>
      <c r="AI762" s="64"/>
      <c r="AJ762" s="64"/>
      <c r="AK762" s="64"/>
      <c r="AL762" s="64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</row>
    <row r="763" ht="16.5" customHeight="1">
      <c r="A763" s="62"/>
      <c r="B763" s="62"/>
      <c r="C763" s="62"/>
      <c r="D763" s="62"/>
      <c r="E763" s="62"/>
      <c r="F763" s="63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4"/>
      <c r="AG763" s="64"/>
      <c r="AH763" s="64"/>
      <c r="AI763" s="64"/>
      <c r="AJ763" s="64"/>
      <c r="AK763" s="64"/>
      <c r="AL763" s="64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</row>
    <row r="764" ht="16.5" customHeight="1">
      <c r="A764" s="62"/>
      <c r="B764" s="62"/>
      <c r="C764" s="62"/>
      <c r="D764" s="62"/>
      <c r="E764" s="62"/>
      <c r="F764" s="63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4"/>
      <c r="AG764" s="64"/>
      <c r="AH764" s="64"/>
      <c r="AI764" s="64"/>
      <c r="AJ764" s="64"/>
      <c r="AK764" s="64"/>
      <c r="AL764" s="64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</row>
    <row r="765" ht="16.5" customHeight="1">
      <c r="A765" s="62"/>
      <c r="B765" s="62"/>
      <c r="C765" s="62"/>
      <c r="D765" s="62"/>
      <c r="E765" s="62"/>
      <c r="F765" s="63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4"/>
      <c r="AG765" s="64"/>
      <c r="AH765" s="64"/>
      <c r="AI765" s="64"/>
      <c r="AJ765" s="64"/>
      <c r="AK765" s="64"/>
      <c r="AL765" s="64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</row>
    <row r="766" ht="16.5" customHeight="1">
      <c r="A766" s="62"/>
      <c r="B766" s="62"/>
      <c r="C766" s="62"/>
      <c r="D766" s="62"/>
      <c r="E766" s="62"/>
      <c r="F766" s="63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4"/>
      <c r="AG766" s="64"/>
      <c r="AH766" s="64"/>
      <c r="AI766" s="64"/>
      <c r="AJ766" s="64"/>
      <c r="AK766" s="64"/>
      <c r="AL766" s="64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</row>
    <row r="767" ht="16.5" customHeight="1">
      <c r="A767" s="62"/>
      <c r="B767" s="62"/>
      <c r="C767" s="62"/>
      <c r="D767" s="62"/>
      <c r="E767" s="62"/>
      <c r="F767" s="63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4"/>
      <c r="AG767" s="64"/>
      <c r="AH767" s="64"/>
      <c r="AI767" s="64"/>
      <c r="AJ767" s="64"/>
      <c r="AK767" s="64"/>
      <c r="AL767" s="64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</row>
    <row r="768" ht="16.5" customHeight="1">
      <c r="A768" s="62"/>
      <c r="B768" s="62"/>
      <c r="C768" s="62"/>
      <c r="D768" s="62"/>
      <c r="E768" s="62"/>
      <c r="F768" s="63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4"/>
      <c r="AG768" s="64"/>
      <c r="AH768" s="64"/>
      <c r="AI768" s="64"/>
      <c r="AJ768" s="64"/>
      <c r="AK768" s="64"/>
      <c r="AL768" s="64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</row>
    <row r="769" ht="16.5" customHeight="1">
      <c r="A769" s="62"/>
      <c r="B769" s="62"/>
      <c r="C769" s="62"/>
      <c r="D769" s="62"/>
      <c r="E769" s="62"/>
      <c r="F769" s="63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4"/>
      <c r="AG769" s="64"/>
      <c r="AH769" s="64"/>
      <c r="AI769" s="64"/>
      <c r="AJ769" s="64"/>
      <c r="AK769" s="64"/>
      <c r="AL769" s="64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</row>
    <row r="770" ht="16.5" customHeight="1">
      <c r="A770" s="62"/>
      <c r="B770" s="62"/>
      <c r="C770" s="62"/>
      <c r="D770" s="62"/>
      <c r="E770" s="62"/>
      <c r="F770" s="63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4"/>
      <c r="AG770" s="64"/>
      <c r="AH770" s="64"/>
      <c r="AI770" s="64"/>
      <c r="AJ770" s="64"/>
      <c r="AK770" s="64"/>
      <c r="AL770" s="64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</row>
    <row r="771" ht="16.5" customHeight="1">
      <c r="A771" s="62"/>
      <c r="B771" s="62"/>
      <c r="C771" s="62"/>
      <c r="D771" s="62"/>
      <c r="E771" s="62"/>
      <c r="F771" s="63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4"/>
      <c r="AG771" s="64"/>
      <c r="AH771" s="64"/>
      <c r="AI771" s="64"/>
      <c r="AJ771" s="64"/>
      <c r="AK771" s="64"/>
      <c r="AL771" s="64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</row>
    <row r="772" ht="16.5" customHeight="1">
      <c r="A772" s="62"/>
      <c r="B772" s="62"/>
      <c r="C772" s="62"/>
      <c r="D772" s="62"/>
      <c r="E772" s="62"/>
      <c r="F772" s="63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4"/>
      <c r="AG772" s="64"/>
      <c r="AH772" s="64"/>
      <c r="AI772" s="64"/>
      <c r="AJ772" s="64"/>
      <c r="AK772" s="64"/>
      <c r="AL772" s="64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</row>
    <row r="773" ht="16.5" customHeight="1">
      <c r="A773" s="62"/>
      <c r="B773" s="62"/>
      <c r="C773" s="62"/>
      <c r="D773" s="62"/>
      <c r="E773" s="62"/>
      <c r="F773" s="63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4"/>
      <c r="AG773" s="64"/>
      <c r="AH773" s="64"/>
      <c r="AI773" s="64"/>
      <c r="AJ773" s="64"/>
      <c r="AK773" s="64"/>
      <c r="AL773" s="64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</row>
    <row r="774" ht="16.5" customHeight="1">
      <c r="A774" s="62"/>
      <c r="B774" s="62"/>
      <c r="C774" s="62"/>
      <c r="D774" s="62"/>
      <c r="E774" s="62"/>
      <c r="F774" s="63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4"/>
      <c r="AG774" s="64"/>
      <c r="AH774" s="64"/>
      <c r="AI774" s="64"/>
      <c r="AJ774" s="64"/>
      <c r="AK774" s="64"/>
      <c r="AL774" s="64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</row>
    <row r="775" ht="16.5" customHeight="1">
      <c r="A775" s="62"/>
      <c r="B775" s="62"/>
      <c r="C775" s="62"/>
      <c r="D775" s="62"/>
      <c r="E775" s="62"/>
      <c r="F775" s="63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4"/>
      <c r="AG775" s="64"/>
      <c r="AH775" s="64"/>
      <c r="AI775" s="64"/>
      <c r="AJ775" s="64"/>
      <c r="AK775" s="64"/>
      <c r="AL775" s="64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</row>
    <row r="776" ht="16.5" customHeight="1">
      <c r="A776" s="62"/>
      <c r="B776" s="62"/>
      <c r="C776" s="62"/>
      <c r="D776" s="62"/>
      <c r="E776" s="62"/>
      <c r="F776" s="63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4"/>
      <c r="AG776" s="64"/>
      <c r="AH776" s="64"/>
      <c r="AI776" s="64"/>
      <c r="AJ776" s="64"/>
      <c r="AK776" s="64"/>
      <c r="AL776" s="64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</row>
    <row r="777" ht="16.5" customHeight="1">
      <c r="A777" s="62"/>
      <c r="B777" s="62"/>
      <c r="C777" s="62"/>
      <c r="D777" s="62"/>
      <c r="E777" s="62"/>
      <c r="F777" s="63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4"/>
      <c r="AG777" s="64"/>
      <c r="AH777" s="64"/>
      <c r="AI777" s="64"/>
      <c r="AJ777" s="64"/>
      <c r="AK777" s="64"/>
      <c r="AL777" s="64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</row>
    <row r="778" ht="16.5" customHeight="1">
      <c r="A778" s="62"/>
      <c r="B778" s="62"/>
      <c r="C778" s="62"/>
      <c r="D778" s="62"/>
      <c r="E778" s="62"/>
      <c r="F778" s="63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4"/>
      <c r="AG778" s="64"/>
      <c r="AH778" s="64"/>
      <c r="AI778" s="64"/>
      <c r="AJ778" s="64"/>
      <c r="AK778" s="64"/>
      <c r="AL778" s="64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</row>
    <row r="779" ht="16.5" customHeight="1">
      <c r="A779" s="62"/>
      <c r="B779" s="62"/>
      <c r="C779" s="62"/>
      <c r="D779" s="62"/>
      <c r="E779" s="62"/>
      <c r="F779" s="63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4"/>
      <c r="AG779" s="64"/>
      <c r="AH779" s="64"/>
      <c r="AI779" s="64"/>
      <c r="AJ779" s="64"/>
      <c r="AK779" s="64"/>
      <c r="AL779" s="64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</row>
    <row r="780" ht="16.5" customHeight="1">
      <c r="A780" s="62"/>
      <c r="B780" s="62"/>
      <c r="C780" s="62"/>
      <c r="D780" s="62"/>
      <c r="E780" s="62"/>
      <c r="F780" s="63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4"/>
      <c r="AG780" s="64"/>
      <c r="AH780" s="64"/>
      <c r="AI780" s="64"/>
      <c r="AJ780" s="64"/>
      <c r="AK780" s="64"/>
      <c r="AL780" s="64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</row>
    <row r="781" ht="16.5" customHeight="1">
      <c r="A781" s="62"/>
      <c r="B781" s="62"/>
      <c r="C781" s="62"/>
      <c r="D781" s="62"/>
      <c r="E781" s="62"/>
      <c r="F781" s="63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4"/>
      <c r="AG781" s="64"/>
      <c r="AH781" s="64"/>
      <c r="AI781" s="64"/>
      <c r="AJ781" s="64"/>
      <c r="AK781" s="64"/>
      <c r="AL781" s="64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</row>
    <row r="782" ht="16.5" customHeight="1">
      <c r="A782" s="62"/>
      <c r="B782" s="62"/>
      <c r="C782" s="62"/>
      <c r="D782" s="62"/>
      <c r="E782" s="62"/>
      <c r="F782" s="63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4"/>
      <c r="AG782" s="64"/>
      <c r="AH782" s="64"/>
      <c r="AI782" s="64"/>
      <c r="AJ782" s="64"/>
      <c r="AK782" s="64"/>
      <c r="AL782" s="64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</row>
    <row r="783" ht="16.5" customHeight="1">
      <c r="A783" s="62"/>
      <c r="B783" s="62"/>
      <c r="C783" s="62"/>
      <c r="D783" s="62"/>
      <c r="E783" s="62"/>
      <c r="F783" s="63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4"/>
      <c r="AG783" s="64"/>
      <c r="AH783" s="64"/>
      <c r="AI783" s="64"/>
      <c r="AJ783" s="64"/>
      <c r="AK783" s="64"/>
      <c r="AL783" s="64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</row>
    <row r="784" ht="16.5" customHeight="1">
      <c r="A784" s="62"/>
      <c r="B784" s="62"/>
      <c r="C784" s="62"/>
      <c r="D784" s="62"/>
      <c r="E784" s="62"/>
      <c r="F784" s="63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4"/>
      <c r="AG784" s="64"/>
      <c r="AH784" s="64"/>
      <c r="AI784" s="64"/>
      <c r="AJ784" s="64"/>
      <c r="AK784" s="64"/>
      <c r="AL784" s="64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</row>
    <row r="785" ht="16.5" customHeight="1">
      <c r="A785" s="62"/>
      <c r="B785" s="62"/>
      <c r="C785" s="62"/>
      <c r="D785" s="62"/>
      <c r="E785" s="62"/>
      <c r="F785" s="63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4"/>
      <c r="AG785" s="64"/>
      <c r="AH785" s="64"/>
      <c r="AI785" s="64"/>
      <c r="AJ785" s="64"/>
      <c r="AK785" s="64"/>
      <c r="AL785" s="64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</row>
    <row r="786" ht="16.5" customHeight="1">
      <c r="A786" s="62"/>
      <c r="B786" s="62"/>
      <c r="C786" s="62"/>
      <c r="D786" s="62"/>
      <c r="E786" s="62"/>
      <c r="F786" s="63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4"/>
      <c r="AG786" s="64"/>
      <c r="AH786" s="64"/>
      <c r="AI786" s="64"/>
      <c r="AJ786" s="64"/>
      <c r="AK786" s="64"/>
      <c r="AL786" s="64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</row>
    <row r="787" ht="16.5" customHeight="1">
      <c r="A787" s="62"/>
      <c r="B787" s="62"/>
      <c r="C787" s="62"/>
      <c r="D787" s="62"/>
      <c r="E787" s="62"/>
      <c r="F787" s="63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4"/>
      <c r="AG787" s="64"/>
      <c r="AH787" s="64"/>
      <c r="AI787" s="64"/>
      <c r="AJ787" s="64"/>
      <c r="AK787" s="64"/>
      <c r="AL787" s="64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</row>
    <row r="788" ht="16.5" customHeight="1">
      <c r="A788" s="62"/>
      <c r="B788" s="62"/>
      <c r="C788" s="62"/>
      <c r="D788" s="62"/>
      <c r="E788" s="62"/>
      <c r="F788" s="63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4"/>
      <c r="AG788" s="64"/>
      <c r="AH788" s="64"/>
      <c r="AI788" s="64"/>
      <c r="AJ788" s="64"/>
      <c r="AK788" s="64"/>
      <c r="AL788" s="64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</row>
    <row r="789" ht="16.5" customHeight="1">
      <c r="A789" s="62"/>
      <c r="B789" s="62"/>
      <c r="C789" s="62"/>
      <c r="D789" s="62"/>
      <c r="E789" s="62"/>
      <c r="F789" s="63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4"/>
      <c r="AG789" s="64"/>
      <c r="AH789" s="64"/>
      <c r="AI789" s="64"/>
      <c r="AJ789" s="64"/>
      <c r="AK789" s="64"/>
      <c r="AL789" s="64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</row>
    <row r="790" ht="16.5" customHeight="1">
      <c r="A790" s="62"/>
      <c r="B790" s="62"/>
      <c r="C790" s="62"/>
      <c r="D790" s="62"/>
      <c r="E790" s="62"/>
      <c r="F790" s="63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4"/>
      <c r="AG790" s="64"/>
      <c r="AH790" s="64"/>
      <c r="AI790" s="64"/>
      <c r="AJ790" s="64"/>
      <c r="AK790" s="64"/>
      <c r="AL790" s="64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</row>
    <row r="791" ht="16.5" customHeight="1">
      <c r="A791" s="62"/>
      <c r="B791" s="62"/>
      <c r="C791" s="62"/>
      <c r="D791" s="62"/>
      <c r="E791" s="62"/>
      <c r="F791" s="63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4"/>
      <c r="AG791" s="64"/>
      <c r="AH791" s="64"/>
      <c r="AI791" s="64"/>
      <c r="AJ791" s="64"/>
      <c r="AK791" s="64"/>
      <c r="AL791" s="64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</row>
    <row r="792" ht="16.5" customHeight="1">
      <c r="A792" s="62"/>
      <c r="B792" s="62"/>
      <c r="C792" s="62"/>
      <c r="D792" s="62"/>
      <c r="E792" s="62"/>
      <c r="F792" s="63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4"/>
      <c r="AG792" s="64"/>
      <c r="AH792" s="64"/>
      <c r="AI792" s="64"/>
      <c r="AJ792" s="64"/>
      <c r="AK792" s="64"/>
      <c r="AL792" s="64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</row>
    <row r="793" ht="16.5" customHeight="1">
      <c r="A793" s="62"/>
      <c r="B793" s="62"/>
      <c r="C793" s="62"/>
      <c r="D793" s="62"/>
      <c r="E793" s="62"/>
      <c r="F793" s="63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4"/>
      <c r="AG793" s="64"/>
      <c r="AH793" s="64"/>
      <c r="AI793" s="64"/>
      <c r="AJ793" s="64"/>
      <c r="AK793" s="64"/>
      <c r="AL793" s="64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</row>
    <row r="794" ht="16.5" customHeight="1">
      <c r="A794" s="62"/>
      <c r="B794" s="62"/>
      <c r="C794" s="62"/>
      <c r="D794" s="62"/>
      <c r="E794" s="62"/>
      <c r="F794" s="63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4"/>
      <c r="AG794" s="64"/>
      <c r="AH794" s="64"/>
      <c r="AI794" s="64"/>
      <c r="AJ794" s="64"/>
      <c r="AK794" s="64"/>
      <c r="AL794" s="64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</row>
    <row r="795" ht="16.5" customHeight="1">
      <c r="A795" s="62"/>
      <c r="B795" s="62"/>
      <c r="C795" s="62"/>
      <c r="D795" s="62"/>
      <c r="E795" s="62"/>
      <c r="F795" s="63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4"/>
      <c r="AG795" s="64"/>
      <c r="AH795" s="64"/>
      <c r="AI795" s="64"/>
      <c r="AJ795" s="64"/>
      <c r="AK795" s="64"/>
      <c r="AL795" s="64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</row>
    <row r="796" ht="16.5" customHeight="1">
      <c r="A796" s="62"/>
      <c r="B796" s="62"/>
      <c r="C796" s="62"/>
      <c r="D796" s="62"/>
      <c r="E796" s="62"/>
      <c r="F796" s="63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4"/>
      <c r="AG796" s="64"/>
      <c r="AH796" s="64"/>
      <c r="AI796" s="64"/>
      <c r="AJ796" s="64"/>
      <c r="AK796" s="64"/>
      <c r="AL796" s="64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</row>
    <row r="797" ht="16.5" customHeight="1">
      <c r="A797" s="62"/>
      <c r="B797" s="62"/>
      <c r="C797" s="62"/>
      <c r="D797" s="62"/>
      <c r="E797" s="62"/>
      <c r="F797" s="63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4"/>
      <c r="AG797" s="64"/>
      <c r="AH797" s="64"/>
      <c r="AI797" s="64"/>
      <c r="AJ797" s="64"/>
      <c r="AK797" s="64"/>
      <c r="AL797" s="64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</row>
    <row r="798" ht="16.5" customHeight="1">
      <c r="A798" s="62"/>
      <c r="B798" s="62"/>
      <c r="C798" s="62"/>
      <c r="D798" s="62"/>
      <c r="E798" s="62"/>
      <c r="F798" s="63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4"/>
      <c r="AG798" s="64"/>
      <c r="AH798" s="64"/>
      <c r="AI798" s="64"/>
      <c r="AJ798" s="64"/>
      <c r="AK798" s="64"/>
      <c r="AL798" s="64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</row>
    <row r="799" ht="16.5" customHeight="1">
      <c r="A799" s="62"/>
      <c r="B799" s="62"/>
      <c r="C799" s="62"/>
      <c r="D799" s="62"/>
      <c r="E799" s="62"/>
      <c r="F799" s="63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4"/>
      <c r="AG799" s="64"/>
      <c r="AH799" s="64"/>
      <c r="AI799" s="64"/>
      <c r="AJ799" s="64"/>
      <c r="AK799" s="64"/>
      <c r="AL799" s="64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</row>
    <row r="800" ht="16.5" customHeight="1">
      <c r="A800" s="62"/>
      <c r="B800" s="62"/>
      <c r="C800" s="62"/>
      <c r="D800" s="62"/>
      <c r="E800" s="62"/>
      <c r="F800" s="63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4"/>
      <c r="AG800" s="64"/>
      <c r="AH800" s="64"/>
      <c r="AI800" s="64"/>
      <c r="AJ800" s="64"/>
      <c r="AK800" s="64"/>
      <c r="AL800" s="64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</row>
    <row r="801" ht="16.5" customHeight="1">
      <c r="A801" s="62"/>
      <c r="B801" s="62"/>
      <c r="C801" s="62"/>
      <c r="D801" s="62"/>
      <c r="E801" s="62"/>
      <c r="F801" s="63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4"/>
      <c r="AG801" s="64"/>
      <c r="AH801" s="64"/>
      <c r="AI801" s="64"/>
      <c r="AJ801" s="64"/>
      <c r="AK801" s="64"/>
      <c r="AL801" s="64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</row>
    <row r="802" ht="16.5" customHeight="1">
      <c r="A802" s="62"/>
      <c r="B802" s="62"/>
      <c r="C802" s="62"/>
      <c r="D802" s="62"/>
      <c r="E802" s="62"/>
      <c r="F802" s="63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4"/>
      <c r="AG802" s="64"/>
      <c r="AH802" s="64"/>
      <c r="AI802" s="64"/>
      <c r="AJ802" s="64"/>
      <c r="AK802" s="64"/>
      <c r="AL802" s="64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</row>
    <row r="803" ht="16.5" customHeight="1">
      <c r="A803" s="62"/>
      <c r="B803" s="62"/>
      <c r="C803" s="62"/>
      <c r="D803" s="62"/>
      <c r="E803" s="62"/>
      <c r="F803" s="63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4"/>
      <c r="AG803" s="64"/>
      <c r="AH803" s="64"/>
      <c r="AI803" s="64"/>
      <c r="AJ803" s="64"/>
      <c r="AK803" s="64"/>
      <c r="AL803" s="64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</row>
    <row r="804" ht="16.5" customHeight="1">
      <c r="A804" s="62"/>
      <c r="B804" s="62"/>
      <c r="C804" s="62"/>
      <c r="D804" s="62"/>
      <c r="E804" s="62"/>
      <c r="F804" s="63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4"/>
      <c r="AG804" s="64"/>
      <c r="AH804" s="64"/>
      <c r="AI804" s="64"/>
      <c r="AJ804" s="64"/>
      <c r="AK804" s="64"/>
      <c r="AL804" s="64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</row>
    <row r="805" ht="16.5" customHeight="1">
      <c r="A805" s="62"/>
      <c r="B805" s="62"/>
      <c r="C805" s="62"/>
      <c r="D805" s="62"/>
      <c r="E805" s="62"/>
      <c r="F805" s="63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4"/>
      <c r="AG805" s="64"/>
      <c r="AH805" s="64"/>
      <c r="AI805" s="64"/>
      <c r="AJ805" s="64"/>
      <c r="AK805" s="64"/>
      <c r="AL805" s="64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</row>
    <row r="806" ht="16.5" customHeight="1">
      <c r="A806" s="62"/>
      <c r="B806" s="62"/>
      <c r="C806" s="62"/>
      <c r="D806" s="62"/>
      <c r="E806" s="62"/>
      <c r="F806" s="63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4"/>
      <c r="AG806" s="64"/>
      <c r="AH806" s="64"/>
      <c r="AI806" s="64"/>
      <c r="AJ806" s="64"/>
      <c r="AK806" s="64"/>
      <c r="AL806" s="64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</row>
    <row r="807" ht="16.5" customHeight="1">
      <c r="A807" s="62"/>
      <c r="B807" s="62"/>
      <c r="C807" s="62"/>
      <c r="D807" s="62"/>
      <c r="E807" s="62"/>
      <c r="F807" s="63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4"/>
      <c r="AG807" s="64"/>
      <c r="AH807" s="64"/>
      <c r="AI807" s="64"/>
      <c r="AJ807" s="64"/>
      <c r="AK807" s="64"/>
      <c r="AL807" s="64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</row>
    <row r="808" ht="16.5" customHeight="1">
      <c r="A808" s="62"/>
      <c r="B808" s="62"/>
      <c r="C808" s="62"/>
      <c r="D808" s="62"/>
      <c r="E808" s="62"/>
      <c r="F808" s="63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4"/>
      <c r="AG808" s="64"/>
      <c r="AH808" s="64"/>
      <c r="AI808" s="64"/>
      <c r="AJ808" s="64"/>
      <c r="AK808" s="64"/>
      <c r="AL808" s="64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</row>
    <row r="809" ht="16.5" customHeight="1">
      <c r="A809" s="62"/>
      <c r="B809" s="62"/>
      <c r="C809" s="62"/>
      <c r="D809" s="62"/>
      <c r="E809" s="62"/>
      <c r="F809" s="63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4"/>
      <c r="AG809" s="64"/>
      <c r="AH809" s="64"/>
      <c r="AI809" s="64"/>
      <c r="AJ809" s="64"/>
      <c r="AK809" s="64"/>
      <c r="AL809" s="64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</row>
    <row r="810" ht="16.5" customHeight="1">
      <c r="A810" s="62"/>
      <c r="B810" s="62"/>
      <c r="C810" s="62"/>
      <c r="D810" s="62"/>
      <c r="E810" s="62"/>
      <c r="F810" s="63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4"/>
      <c r="AG810" s="64"/>
      <c r="AH810" s="64"/>
      <c r="AI810" s="64"/>
      <c r="AJ810" s="64"/>
      <c r="AK810" s="64"/>
      <c r="AL810" s="64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</row>
    <row r="811" ht="16.5" customHeight="1">
      <c r="A811" s="62"/>
      <c r="B811" s="62"/>
      <c r="C811" s="62"/>
      <c r="D811" s="62"/>
      <c r="E811" s="62"/>
      <c r="F811" s="63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4"/>
      <c r="AG811" s="64"/>
      <c r="AH811" s="64"/>
      <c r="AI811" s="64"/>
      <c r="AJ811" s="64"/>
      <c r="AK811" s="64"/>
      <c r="AL811" s="64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</row>
    <row r="812" ht="16.5" customHeight="1">
      <c r="A812" s="62"/>
      <c r="B812" s="62"/>
      <c r="C812" s="62"/>
      <c r="D812" s="62"/>
      <c r="E812" s="62"/>
      <c r="F812" s="63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4"/>
      <c r="AG812" s="64"/>
      <c r="AH812" s="64"/>
      <c r="AI812" s="64"/>
      <c r="AJ812" s="64"/>
      <c r="AK812" s="64"/>
      <c r="AL812" s="64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</row>
    <row r="813" ht="16.5" customHeight="1">
      <c r="A813" s="62"/>
      <c r="B813" s="62"/>
      <c r="C813" s="62"/>
      <c r="D813" s="62"/>
      <c r="E813" s="62"/>
      <c r="F813" s="63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4"/>
      <c r="AG813" s="64"/>
      <c r="AH813" s="64"/>
      <c r="AI813" s="64"/>
      <c r="AJ813" s="64"/>
      <c r="AK813" s="64"/>
      <c r="AL813" s="64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</row>
    <row r="814" ht="16.5" customHeight="1">
      <c r="A814" s="62"/>
      <c r="B814" s="62"/>
      <c r="C814" s="62"/>
      <c r="D814" s="62"/>
      <c r="E814" s="62"/>
      <c r="F814" s="63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4"/>
      <c r="AG814" s="64"/>
      <c r="AH814" s="64"/>
      <c r="AI814" s="64"/>
      <c r="AJ814" s="64"/>
      <c r="AK814" s="64"/>
      <c r="AL814" s="64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</row>
    <row r="815" ht="16.5" customHeight="1">
      <c r="A815" s="62"/>
      <c r="B815" s="62"/>
      <c r="C815" s="62"/>
      <c r="D815" s="62"/>
      <c r="E815" s="62"/>
      <c r="F815" s="63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4"/>
      <c r="AG815" s="64"/>
      <c r="AH815" s="64"/>
      <c r="AI815" s="64"/>
      <c r="AJ815" s="64"/>
      <c r="AK815" s="64"/>
      <c r="AL815" s="64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</row>
    <row r="816" ht="16.5" customHeight="1">
      <c r="A816" s="62"/>
      <c r="B816" s="62"/>
      <c r="C816" s="62"/>
      <c r="D816" s="62"/>
      <c r="E816" s="62"/>
      <c r="F816" s="63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4"/>
      <c r="AG816" s="64"/>
      <c r="AH816" s="64"/>
      <c r="AI816" s="64"/>
      <c r="AJ816" s="64"/>
      <c r="AK816" s="64"/>
      <c r="AL816" s="64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</row>
    <row r="817" ht="16.5" customHeight="1">
      <c r="A817" s="62"/>
      <c r="B817" s="62"/>
      <c r="C817" s="62"/>
      <c r="D817" s="62"/>
      <c r="E817" s="62"/>
      <c r="F817" s="63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4"/>
      <c r="AG817" s="64"/>
      <c r="AH817" s="64"/>
      <c r="AI817" s="64"/>
      <c r="AJ817" s="64"/>
      <c r="AK817" s="64"/>
      <c r="AL817" s="64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</row>
    <row r="818" ht="16.5" customHeight="1">
      <c r="A818" s="62"/>
      <c r="B818" s="62"/>
      <c r="C818" s="62"/>
      <c r="D818" s="62"/>
      <c r="E818" s="62"/>
      <c r="F818" s="63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4"/>
      <c r="AG818" s="64"/>
      <c r="AH818" s="64"/>
      <c r="AI818" s="64"/>
      <c r="AJ818" s="64"/>
      <c r="AK818" s="64"/>
      <c r="AL818" s="64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</row>
    <row r="819" ht="16.5" customHeight="1">
      <c r="A819" s="62"/>
      <c r="B819" s="62"/>
      <c r="C819" s="62"/>
      <c r="D819" s="62"/>
      <c r="E819" s="62"/>
      <c r="F819" s="63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4"/>
      <c r="AG819" s="64"/>
      <c r="AH819" s="64"/>
      <c r="AI819" s="64"/>
      <c r="AJ819" s="64"/>
      <c r="AK819" s="64"/>
      <c r="AL819" s="64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</row>
    <row r="820" ht="16.5" customHeight="1">
      <c r="A820" s="62"/>
      <c r="B820" s="62"/>
      <c r="C820" s="62"/>
      <c r="D820" s="62"/>
      <c r="E820" s="62"/>
      <c r="F820" s="63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4"/>
      <c r="AG820" s="64"/>
      <c r="AH820" s="64"/>
      <c r="AI820" s="64"/>
      <c r="AJ820" s="64"/>
      <c r="AK820" s="64"/>
      <c r="AL820" s="64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</row>
    <row r="821" ht="16.5" customHeight="1">
      <c r="A821" s="62"/>
      <c r="B821" s="62"/>
      <c r="C821" s="62"/>
      <c r="D821" s="62"/>
      <c r="E821" s="62"/>
      <c r="F821" s="63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4"/>
      <c r="AG821" s="64"/>
      <c r="AH821" s="64"/>
      <c r="AI821" s="64"/>
      <c r="AJ821" s="64"/>
      <c r="AK821" s="64"/>
      <c r="AL821" s="64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</row>
    <row r="822" ht="16.5" customHeight="1">
      <c r="A822" s="62"/>
      <c r="B822" s="62"/>
      <c r="C822" s="62"/>
      <c r="D822" s="62"/>
      <c r="E822" s="62"/>
      <c r="F822" s="63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4"/>
      <c r="AG822" s="64"/>
      <c r="AH822" s="64"/>
      <c r="AI822" s="64"/>
      <c r="AJ822" s="64"/>
      <c r="AK822" s="64"/>
      <c r="AL822" s="64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</row>
    <row r="823" ht="16.5" customHeight="1">
      <c r="A823" s="62"/>
      <c r="B823" s="62"/>
      <c r="C823" s="62"/>
      <c r="D823" s="62"/>
      <c r="E823" s="62"/>
      <c r="F823" s="63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4"/>
      <c r="AG823" s="64"/>
      <c r="AH823" s="64"/>
      <c r="AI823" s="64"/>
      <c r="AJ823" s="64"/>
      <c r="AK823" s="64"/>
      <c r="AL823" s="64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</row>
    <row r="824" ht="16.5" customHeight="1">
      <c r="A824" s="62"/>
      <c r="B824" s="62"/>
      <c r="C824" s="62"/>
      <c r="D824" s="62"/>
      <c r="E824" s="62"/>
      <c r="F824" s="63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4"/>
      <c r="AG824" s="64"/>
      <c r="AH824" s="64"/>
      <c r="AI824" s="64"/>
      <c r="AJ824" s="64"/>
      <c r="AK824" s="64"/>
      <c r="AL824" s="64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</row>
    <row r="825" ht="16.5" customHeight="1">
      <c r="A825" s="62"/>
      <c r="B825" s="62"/>
      <c r="C825" s="62"/>
      <c r="D825" s="62"/>
      <c r="E825" s="62"/>
      <c r="F825" s="63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4"/>
      <c r="AG825" s="64"/>
      <c r="AH825" s="64"/>
      <c r="AI825" s="64"/>
      <c r="AJ825" s="64"/>
      <c r="AK825" s="64"/>
      <c r="AL825" s="64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</row>
    <row r="826" ht="16.5" customHeight="1">
      <c r="A826" s="62"/>
      <c r="B826" s="62"/>
      <c r="C826" s="62"/>
      <c r="D826" s="62"/>
      <c r="E826" s="62"/>
      <c r="F826" s="63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4"/>
      <c r="AG826" s="64"/>
      <c r="AH826" s="64"/>
      <c r="AI826" s="64"/>
      <c r="AJ826" s="64"/>
      <c r="AK826" s="64"/>
      <c r="AL826" s="64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</row>
    <row r="827" ht="16.5" customHeight="1">
      <c r="A827" s="62"/>
      <c r="B827" s="62"/>
      <c r="C827" s="62"/>
      <c r="D827" s="62"/>
      <c r="E827" s="62"/>
      <c r="F827" s="63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4"/>
      <c r="AG827" s="64"/>
      <c r="AH827" s="64"/>
      <c r="AI827" s="64"/>
      <c r="AJ827" s="64"/>
      <c r="AK827" s="64"/>
      <c r="AL827" s="64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</row>
    <row r="828" ht="16.5" customHeight="1">
      <c r="A828" s="62"/>
      <c r="B828" s="62"/>
      <c r="C828" s="62"/>
      <c r="D828" s="62"/>
      <c r="E828" s="62"/>
      <c r="F828" s="63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4"/>
      <c r="AG828" s="64"/>
      <c r="AH828" s="64"/>
      <c r="AI828" s="64"/>
      <c r="AJ828" s="64"/>
      <c r="AK828" s="64"/>
      <c r="AL828" s="64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</row>
    <row r="829" ht="16.5" customHeight="1">
      <c r="A829" s="62"/>
      <c r="B829" s="62"/>
      <c r="C829" s="62"/>
      <c r="D829" s="62"/>
      <c r="E829" s="62"/>
      <c r="F829" s="63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4"/>
      <c r="AG829" s="64"/>
      <c r="AH829" s="64"/>
      <c r="AI829" s="64"/>
      <c r="AJ829" s="64"/>
      <c r="AK829" s="64"/>
      <c r="AL829" s="64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</row>
    <row r="830" ht="16.5" customHeight="1">
      <c r="A830" s="62"/>
      <c r="B830" s="62"/>
      <c r="C830" s="62"/>
      <c r="D830" s="62"/>
      <c r="E830" s="62"/>
      <c r="F830" s="63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4"/>
      <c r="AG830" s="64"/>
      <c r="AH830" s="64"/>
      <c r="AI830" s="64"/>
      <c r="AJ830" s="64"/>
      <c r="AK830" s="64"/>
      <c r="AL830" s="64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</row>
    <row r="831" ht="16.5" customHeight="1">
      <c r="A831" s="62"/>
      <c r="B831" s="62"/>
      <c r="C831" s="62"/>
      <c r="D831" s="62"/>
      <c r="E831" s="62"/>
      <c r="F831" s="63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4"/>
      <c r="AG831" s="64"/>
      <c r="AH831" s="64"/>
      <c r="AI831" s="64"/>
      <c r="AJ831" s="64"/>
      <c r="AK831" s="64"/>
      <c r="AL831" s="64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</row>
    <row r="832" ht="16.5" customHeight="1">
      <c r="A832" s="62"/>
      <c r="B832" s="62"/>
      <c r="C832" s="62"/>
      <c r="D832" s="62"/>
      <c r="E832" s="62"/>
      <c r="F832" s="63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4"/>
      <c r="AG832" s="64"/>
      <c r="AH832" s="64"/>
      <c r="AI832" s="64"/>
      <c r="AJ832" s="64"/>
      <c r="AK832" s="64"/>
      <c r="AL832" s="64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</row>
    <row r="833" ht="16.5" customHeight="1">
      <c r="A833" s="62"/>
      <c r="B833" s="62"/>
      <c r="C833" s="62"/>
      <c r="D833" s="62"/>
      <c r="E833" s="62"/>
      <c r="F833" s="63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4"/>
      <c r="AG833" s="64"/>
      <c r="AH833" s="64"/>
      <c r="AI833" s="64"/>
      <c r="AJ833" s="64"/>
      <c r="AK833" s="64"/>
      <c r="AL833" s="64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</row>
    <row r="834" ht="16.5" customHeight="1">
      <c r="A834" s="62"/>
      <c r="B834" s="62"/>
      <c r="C834" s="62"/>
      <c r="D834" s="62"/>
      <c r="E834" s="62"/>
      <c r="F834" s="63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4"/>
      <c r="AG834" s="64"/>
      <c r="AH834" s="64"/>
      <c r="AI834" s="64"/>
      <c r="AJ834" s="64"/>
      <c r="AK834" s="64"/>
      <c r="AL834" s="64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</row>
    <row r="835" ht="16.5" customHeight="1">
      <c r="A835" s="62"/>
      <c r="B835" s="62"/>
      <c r="C835" s="62"/>
      <c r="D835" s="62"/>
      <c r="E835" s="62"/>
      <c r="F835" s="63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4"/>
      <c r="AG835" s="64"/>
      <c r="AH835" s="64"/>
      <c r="AI835" s="64"/>
      <c r="AJ835" s="64"/>
      <c r="AK835" s="64"/>
      <c r="AL835" s="64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</row>
    <row r="836" ht="16.5" customHeight="1">
      <c r="A836" s="62"/>
      <c r="B836" s="62"/>
      <c r="C836" s="62"/>
      <c r="D836" s="62"/>
      <c r="E836" s="62"/>
      <c r="F836" s="63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4"/>
      <c r="AG836" s="64"/>
      <c r="AH836" s="64"/>
      <c r="AI836" s="64"/>
      <c r="AJ836" s="64"/>
      <c r="AK836" s="64"/>
      <c r="AL836" s="64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</row>
    <row r="837" ht="16.5" customHeight="1">
      <c r="A837" s="62"/>
      <c r="B837" s="62"/>
      <c r="C837" s="62"/>
      <c r="D837" s="62"/>
      <c r="E837" s="62"/>
      <c r="F837" s="63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4"/>
      <c r="AG837" s="64"/>
      <c r="AH837" s="64"/>
      <c r="AI837" s="64"/>
      <c r="AJ837" s="64"/>
      <c r="AK837" s="64"/>
      <c r="AL837" s="64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</row>
    <row r="838" ht="16.5" customHeight="1">
      <c r="A838" s="62"/>
      <c r="B838" s="62"/>
      <c r="C838" s="62"/>
      <c r="D838" s="62"/>
      <c r="E838" s="62"/>
      <c r="F838" s="63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4"/>
      <c r="AG838" s="64"/>
      <c r="AH838" s="64"/>
      <c r="AI838" s="64"/>
      <c r="AJ838" s="64"/>
      <c r="AK838" s="64"/>
      <c r="AL838" s="64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</row>
    <row r="839" ht="16.5" customHeight="1">
      <c r="A839" s="62"/>
      <c r="B839" s="62"/>
      <c r="C839" s="62"/>
      <c r="D839" s="62"/>
      <c r="E839" s="62"/>
      <c r="F839" s="63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4"/>
      <c r="AG839" s="64"/>
      <c r="AH839" s="64"/>
      <c r="AI839" s="64"/>
      <c r="AJ839" s="64"/>
      <c r="AK839" s="64"/>
      <c r="AL839" s="64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</row>
    <row r="840" ht="16.5" customHeight="1">
      <c r="A840" s="62"/>
      <c r="B840" s="62"/>
      <c r="C840" s="62"/>
      <c r="D840" s="62"/>
      <c r="E840" s="62"/>
      <c r="F840" s="63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4"/>
      <c r="AG840" s="64"/>
      <c r="AH840" s="64"/>
      <c r="AI840" s="64"/>
      <c r="AJ840" s="64"/>
      <c r="AK840" s="64"/>
      <c r="AL840" s="64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</row>
    <row r="841" ht="16.5" customHeight="1">
      <c r="A841" s="62"/>
      <c r="B841" s="62"/>
      <c r="C841" s="62"/>
      <c r="D841" s="62"/>
      <c r="E841" s="62"/>
      <c r="F841" s="63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4"/>
      <c r="AG841" s="64"/>
      <c r="AH841" s="64"/>
      <c r="AI841" s="64"/>
      <c r="AJ841" s="64"/>
      <c r="AK841" s="64"/>
      <c r="AL841" s="64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</row>
    <row r="842" ht="16.5" customHeight="1">
      <c r="A842" s="62"/>
      <c r="B842" s="62"/>
      <c r="C842" s="62"/>
      <c r="D842" s="62"/>
      <c r="E842" s="62"/>
      <c r="F842" s="63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4"/>
      <c r="AG842" s="64"/>
      <c r="AH842" s="64"/>
      <c r="AI842" s="64"/>
      <c r="AJ842" s="64"/>
      <c r="AK842" s="64"/>
      <c r="AL842" s="64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</row>
    <row r="843" ht="16.5" customHeight="1">
      <c r="A843" s="62"/>
      <c r="B843" s="62"/>
      <c r="C843" s="62"/>
      <c r="D843" s="62"/>
      <c r="E843" s="62"/>
      <c r="F843" s="63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4"/>
      <c r="AG843" s="64"/>
      <c r="AH843" s="64"/>
      <c r="AI843" s="64"/>
      <c r="AJ843" s="64"/>
      <c r="AK843" s="64"/>
      <c r="AL843" s="64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</row>
    <row r="844" ht="16.5" customHeight="1">
      <c r="A844" s="62"/>
      <c r="B844" s="62"/>
      <c r="C844" s="62"/>
      <c r="D844" s="62"/>
      <c r="E844" s="62"/>
      <c r="F844" s="63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4"/>
      <c r="AG844" s="64"/>
      <c r="AH844" s="64"/>
      <c r="AI844" s="64"/>
      <c r="AJ844" s="64"/>
      <c r="AK844" s="64"/>
      <c r="AL844" s="64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</row>
    <row r="845" ht="16.5" customHeight="1">
      <c r="A845" s="62"/>
      <c r="B845" s="62"/>
      <c r="C845" s="62"/>
      <c r="D845" s="62"/>
      <c r="E845" s="62"/>
      <c r="F845" s="63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4"/>
      <c r="AG845" s="64"/>
      <c r="AH845" s="64"/>
      <c r="AI845" s="64"/>
      <c r="AJ845" s="64"/>
      <c r="AK845" s="64"/>
      <c r="AL845" s="64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</row>
    <row r="846" ht="16.5" customHeight="1">
      <c r="A846" s="62"/>
      <c r="B846" s="62"/>
      <c r="C846" s="62"/>
      <c r="D846" s="62"/>
      <c r="E846" s="62"/>
      <c r="F846" s="63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4"/>
      <c r="AG846" s="64"/>
      <c r="AH846" s="64"/>
      <c r="AI846" s="64"/>
      <c r="AJ846" s="64"/>
      <c r="AK846" s="64"/>
      <c r="AL846" s="64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</row>
    <row r="847" ht="16.5" customHeight="1">
      <c r="A847" s="62"/>
      <c r="B847" s="62"/>
      <c r="C847" s="62"/>
      <c r="D847" s="62"/>
      <c r="E847" s="62"/>
      <c r="F847" s="63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4"/>
      <c r="AG847" s="64"/>
      <c r="AH847" s="64"/>
      <c r="AI847" s="64"/>
      <c r="AJ847" s="64"/>
      <c r="AK847" s="64"/>
      <c r="AL847" s="64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</row>
    <row r="848" ht="16.5" customHeight="1">
      <c r="A848" s="62"/>
      <c r="B848" s="62"/>
      <c r="C848" s="62"/>
      <c r="D848" s="62"/>
      <c r="E848" s="62"/>
      <c r="F848" s="63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4"/>
      <c r="AG848" s="64"/>
      <c r="AH848" s="64"/>
      <c r="AI848" s="64"/>
      <c r="AJ848" s="64"/>
      <c r="AK848" s="64"/>
      <c r="AL848" s="64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</row>
    <row r="849" ht="16.5" customHeight="1">
      <c r="A849" s="62"/>
      <c r="B849" s="62"/>
      <c r="C849" s="62"/>
      <c r="D849" s="62"/>
      <c r="E849" s="62"/>
      <c r="F849" s="63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4"/>
      <c r="AG849" s="64"/>
      <c r="AH849" s="64"/>
      <c r="AI849" s="64"/>
      <c r="AJ849" s="64"/>
      <c r="AK849" s="64"/>
      <c r="AL849" s="64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</row>
    <row r="850" ht="16.5" customHeight="1">
      <c r="A850" s="62"/>
      <c r="B850" s="62"/>
      <c r="C850" s="62"/>
      <c r="D850" s="62"/>
      <c r="E850" s="62"/>
      <c r="F850" s="63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4"/>
      <c r="AG850" s="64"/>
      <c r="AH850" s="64"/>
      <c r="AI850" s="64"/>
      <c r="AJ850" s="64"/>
      <c r="AK850" s="64"/>
      <c r="AL850" s="64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</row>
    <row r="851" ht="16.5" customHeight="1">
      <c r="A851" s="62"/>
      <c r="B851" s="62"/>
      <c r="C851" s="62"/>
      <c r="D851" s="62"/>
      <c r="E851" s="62"/>
      <c r="F851" s="63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4"/>
      <c r="AG851" s="64"/>
      <c r="AH851" s="64"/>
      <c r="AI851" s="64"/>
      <c r="AJ851" s="64"/>
      <c r="AK851" s="64"/>
      <c r="AL851" s="64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</row>
    <row r="852" ht="16.5" customHeight="1">
      <c r="A852" s="62"/>
      <c r="B852" s="62"/>
      <c r="C852" s="62"/>
      <c r="D852" s="62"/>
      <c r="E852" s="62"/>
      <c r="F852" s="63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4"/>
      <c r="AG852" s="64"/>
      <c r="AH852" s="64"/>
      <c r="AI852" s="64"/>
      <c r="AJ852" s="64"/>
      <c r="AK852" s="64"/>
      <c r="AL852" s="64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</row>
    <row r="853" ht="16.5" customHeight="1">
      <c r="A853" s="62"/>
      <c r="B853" s="62"/>
      <c r="C853" s="62"/>
      <c r="D853" s="62"/>
      <c r="E853" s="62"/>
      <c r="F853" s="63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4"/>
      <c r="AG853" s="64"/>
      <c r="AH853" s="64"/>
      <c r="AI853" s="64"/>
      <c r="AJ853" s="64"/>
      <c r="AK853" s="64"/>
      <c r="AL853" s="64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</row>
    <row r="854" ht="16.5" customHeight="1">
      <c r="A854" s="62"/>
      <c r="B854" s="62"/>
      <c r="C854" s="62"/>
      <c r="D854" s="62"/>
      <c r="E854" s="62"/>
      <c r="F854" s="63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4"/>
      <c r="AG854" s="64"/>
      <c r="AH854" s="64"/>
      <c r="AI854" s="64"/>
      <c r="AJ854" s="64"/>
      <c r="AK854" s="64"/>
      <c r="AL854" s="64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</row>
    <row r="855" ht="16.5" customHeight="1">
      <c r="A855" s="62"/>
      <c r="B855" s="62"/>
      <c r="C855" s="62"/>
      <c r="D855" s="62"/>
      <c r="E855" s="62"/>
      <c r="F855" s="63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4"/>
      <c r="AG855" s="64"/>
      <c r="AH855" s="64"/>
      <c r="AI855" s="64"/>
      <c r="AJ855" s="64"/>
      <c r="AK855" s="64"/>
      <c r="AL855" s="64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</row>
    <row r="856" ht="16.5" customHeight="1">
      <c r="A856" s="62"/>
      <c r="B856" s="62"/>
      <c r="C856" s="62"/>
      <c r="D856" s="62"/>
      <c r="E856" s="62"/>
      <c r="F856" s="63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4"/>
      <c r="AG856" s="64"/>
      <c r="AH856" s="64"/>
      <c r="AI856" s="64"/>
      <c r="AJ856" s="64"/>
      <c r="AK856" s="64"/>
      <c r="AL856" s="64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</row>
    <row r="857" ht="16.5" customHeight="1">
      <c r="A857" s="62"/>
      <c r="B857" s="62"/>
      <c r="C857" s="62"/>
      <c r="D857" s="62"/>
      <c r="E857" s="62"/>
      <c r="F857" s="63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4"/>
      <c r="AG857" s="64"/>
      <c r="AH857" s="64"/>
      <c r="AI857" s="64"/>
      <c r="AJ857" s="64"/>
      <c r="AK857" s="64"/>
      <c r="AL857" s="64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</row>
    <row r="858" ht="16.5" customHeight="1">
      <c r="A858" s="62"/>
      <c r="B858" s="62"/>
      <c r="C858" s="62"/>
      <c r="D858" s="62"/>
      <c r="E858" s="62"/>
      <c r="F858" s="63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4"/>
      <c r="AG858" s="64"/>
      <c r="AH858" s="64"/>
      <c r="AI858" s="64"/>
      <c r="AJ858" s="64"/>
      <c r="AK858" s="64"/>
      <c r="AL858" s="64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</row>
    <row r="859" ht="16.5" customHeight="1">
      <c r="A859" s="62"/>
      <c r="B859" s="62"/>
      <c r="C859" s="62"/>
      <c r="D859" s="62"/>
      <c r="E859" s="62"/>
      <c r="F859" s="63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4"/>
      <c r="AG859" s="64"/>
      <c r="AH859" s="64"/>
      <c r="AI859" s="64"/>
      <c r="AJ859" s="64"/>
      <c r="AK859" s="64"/>
      <c r="AL859" s="64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</row>
    <row r="860" ht="16.5" customHeight="1">
      <c r="A860" s="62"/>
      <c r="B860" s="62"/>
      <c r="C860" s="62"/>
      <c r="D860" s="62"/>
      <c r="E860" s="62"/>
      <c r="F860" s="63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4"/>
      <c r="AG860" s="64"/>
      <c r="AH860" s="64"/>
      <c r="AI860" s="64"/>
      <c r="AJ860" s="64"/>
      <c r="AK860" s="64"/>
      <c r="AL860" s="64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</row>
    <row r="861" ht="16.5" customHeight="1">
      <c r="A861" s="62"/>
      <c r="B861" s="62"/>
      <c r="C861" s="62"/>
      <c r="D861" s="62"/>
      <c r="E861" s="62"/>
      <c r="F861" s="63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4"/>
      <c r="AG861" s="64"/>
      <c r="AH861" s="64"/>
      <c r="AI861" s="64"/>
      <c r="AJ861" s="64"/>
      <c r="AK861" s="64"/>
      <c r="AL861" s="64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</row>
    <row r="862" ht="16.5" customHeight="1">
      <c r="A862" s="62"/>
      <c r="B862" s="62"/>
      <c r="C862" s="62"/>
      <c r="D862" s="62"/>
      <c r="E862" s="62"/>
      <c r="F862" s="63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4"/>
      <c r="AG862" s="64"/>
      <c r="AH862" s="64"/>
      <c r="AI862" s="64"/>
      <c r="AJ862" s="64"/>
      <c r="AK862" s="64"/>
      <c r="AL862" s="64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</row>
    <row r="863" ht="16.5" customHeight="1">
      <c r="A863" s="62"/>
      <c r="B863" s="62"/>
      <c r="C863" s="62"/>
      <c r="D863" s="62"/>
      <c r="E863" s="62"/>
      <c r="F863" s="63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4"/>
      <c r="AG863" s="64"/>
      <c r="AH863" s="64"/>
      <c r="AI863" s="64"/>
      <c r="AJ863" s="64"/>
      <c r="AK863" s="64"/>
      <c r="AL863" s="64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</row>
    <row r="864" ht="16.5" customHeight="1">
      <c r="A864" s="62"/>
      <c r="B864" s="62"/>
      <c r="C864" s="62"/>
      <c r="D864" s="62"/>
      <c r="E864" s="62"/>
      <c r="F864" s="63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4"/>
      <c r="AG864" s="64"/>
      <c r="AH864" s="64"/>
      <c r="AI864" s="64"/>
      <c r="AJ864" s="64"/>
      <c r="AK864" s="64"/>
      <c r="AL864" s="64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</row>
    <row r="865" ht="16.5" customHeight="1">
      <c r="A865" s="62"/>
      <c r="B865" s="62"/>
      <c r="C865" s="62"/>
      <c r="D865" s="62"/>
      <c r="E865" s="62"/>
      <c r="F865" s="63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4"/>
      <c r="AG865" s="64"/>
      <c r="AH865" s="64"/>
      <c r="AI865" s="64"/>
      <c r="AJ865" s="64"/>
      <c r="AK865" s="64"/>
      <c r="AL865" s="64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</row>
    <row r="866" ht="16.5" customHeight="1">
      <c r="A866" s="62"/>
      <c r="B866" s="62"/>
      <c r="C866" s="62"/>
      <c r="D866" s="62"/>
      <c r="E866" s="62"/>
      <c r="F866" s="63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4"/>
      <c r="AG866" s="64"/>
      <c r="AH866" s="64"/>
      <c r="AI866" s="64"/>
      <c r="AJ866" s="64"/>
      <c r="AK866" s="64"/>
      <c r="AL866" s="64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</row>
    <row r="867" ht="16.5" customHeight="1">
      <c r="A867" s="62"/>
      <c r="B867" s="62"/>
      <c r="C867" s="62"/>
      <c r="D867" s="62"/>
      <c r="E867" s="62"/>
      <c r="F867" s="63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4"/>
      <c r="AG867" s="64"/>
      <c r="AH867" s="64"/>
      <c r="AI867" s="64"/>
      <c r="AJ867" s="64"/>
      <c r="AK867" s="64"/>
      <c r="AL867" s="64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</row>
    <row r="868" ht="16.5" customHeight="1">
      <c r="A868" s="62"/>
      <c r="B868" s="62"/>
      <c r="C868" s="62"/>
      <c r="D868" s="62"/>
      <c r="E868" s="62"/>
      <c r="F868" s="63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4"/>
      <c r="AG868" s="64"/>
      <c r="AH868" s="64"/>
      <c r="AI868" s="64"/>
      <c r="AJ868" s="64"/>
      <c r="AK868" s="64"/>
      <c r="AL868" s="64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</row>
    <row r="869" ht="16.5" customHeight="1">
      <c r="A869" s="62"/>
      <c r="B869" s="62"/>
      <c r="C869" s="62"/>
      <c r="D869" s="62"/>
      <c r="E869" s="62"/>
      <c r="F869" s="63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4"/>
      <c r="AG869" s="64"/>
      <c r="AH869" s="64"/>
      <c r="AI869" s="64"/>
      <c r="AJ869" s="64"/>
      <c r="AK869" s="64"/>
      <c r="AL869" s="64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</row>
    <row r="870" ht="16.5" customHeight="1">
      <c r="A870" s="62"/>
      <c r="B870" s="62"/>
      <c r="C870" s="62"/>
      <c r="D870" s="62"/>
      <c r="E870" s="62"/>
      <c r="F870" s="63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4"/>
      <c r="AG870" s="64"/>
      <c r="AH870" s="64"/>
      <c r="AI870" s="64"/>
      <c r="AJ870" s="64"/>
      <c r="AK870" s="64"/>
      <c r="AL870" s="64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</row>
    <row r="871" ht="16.5" customHeight="1">
      <c r="A871" s="62"/>
      <c r="B871" s="62"/>
      <c r="C871" s="62"/>
      <c r="D871" s="62"/>
      <c r="E871" s="62"/>
      <c r="F871" s="63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4"/>
      <c r="AG871" s="64"/>
      <c r="AH871" s="64"/>
      <c r="AI871" s="64"/>
      <c r="AJ871" s="64"/>
      <c r="AK871" s="64"/>
      <c r="AL871" s="64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</row>
    <row r="872" ht="16.5" customHeight="1">
      <c r="A872" s="62"/>
      <c r="B872" s="62"/>
      <c r="C872" s="62"/>
      <c r="D872" s="62"/>
      <c r="E872" s="62"/>
      <c r="F872" s="63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4"/>
      <c r="AG872" s="64"/>
      <c r="AH872" s="64"/>
      <c r="AI872" s="64"/>
      <c r="AJ872" s="64"/>
      <c r="AK872" s="64"/>
      <c r="AL872" s="64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</row>
    <row r="873" ht="16.5" customHeight="1">
      <c r="A873" s="62"/>
      <c r="B873" s="62"/>
      <c r="C873" s="62"/>
      <c r="D873" s="62"/>
      <c r="E873" s="62"/>
      <c r="F873" s="63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4"/>
      <c r="AG873" s="64"/>
      <c r="AH873" s="64"/>
      <c r="AI873" s="64"/>
      <c r="AJ873" s="64"/>
      <c r="AK873" s="64"/>
      <c r="AL873" s="64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</row>
    <row r="874" ht="16.5" customHeight="1">
      <c r="A874" s="62"/>
      <c r="B874" s="62"/>
      <c r="C874" s="62"/>
      <c r="D874" s="62"/>
      <c r="E874" s="62"/>
      <c r="F874" s="63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4"/>
      <c r="AG874" s="64"/>
      <c r="AH874" s="64"/>
      <c r="AI874" s="64"/>
      <c r="AJ874" s="64"/>
      <c r="AK874" s="64"/>
      <c r="AL874" s="64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</row>
    <row r="875" ht="16.5" customHeight="1">
      <c r="A875" s="62"/>
      <c r="B875" s="62"/>
      <c r="C875" s="62"/>
      <c r="D875" s="62"/>
      <c r="E875" s="62"/>
      <c r="F875" s="63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4"/>
      <c r="AG875" s="64"/>
      <c r="AH875" s="64"/>
      <c r="AI875" s="64"/>
      <c r="AJ875" s="64"/>
      <c r="AK875" s="64"/>
      <c r="AL875" s="64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</row>
    <row r="876" ht="16.5" customHeight="1">
      <c r="A876" s="62"/>
      <c r="B876" s="62"/>
      <c r="C876" s="62"/>
      <c r="D876" s="62"/>
      <c r="E876" s="62"/>
      <c r="F876" s="63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4"/>
      <c r="AG876" s="64"/>
      <c r="AH876" s="64"/>
      <c r="AI876" s="64"/>
      <c r="AJ876" s="64"/>
      <c r="AK876" s="64"/>
      <c r="AL876" s="64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</row>
    <row r="877" ht="16.5" customHeight="1">
      <c r="A877" s="62"/>
      <c r="B877" s="62"/>
      <c r="C877" s="62"/>
      <c r="D877" s="62"/>
      <c r="E877" s="62"/>
      <c r="F877" s="63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4"/>
      <c r="AG877" s="64"/>
      <c r="AH877" s="64"/>
      <c r="AI877" s="64"/>
      <c r="AJ877" s="64"/>
      <c r="AK877" s="64"/>
      <c r="AL877" s="64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</row>
    <row r="878" ht="16.5" customHeight="1">
      <c r="A878" s="62"/>
      <c r="B878" s="62"/>
      <c r="C878" s="62"/>
      <c r="D878" s="62"/>
      <c r="E878" s="62"/>
      <c r="F878" s="63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4"/>
      <c r="AG878" s="64"/>
      <c r="AH878" s="64"/>
      <c r="AI878" s="64"/>
      <c r="AJ878" s="64"/>
      <c r="AK878" s="64"/>
      <c r="AL878" s="64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</row>
    <row r="879" ht="16.5" customHeight="1">
      <c r="A879" s="62"/>
      <c r="B879" s="62"/>
      <c r="C879" s="62"/>
      <c r="D879" s="62"/>
      <c r="E879" s="62"/>
      <c r="F879" s="63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4"/>
      <c r="AG879" s="64"/>
      <c r="AH879" s="64"/>
      <c r="AI879" s="64"/>
      <c r="AJ879" s="64"/>
      <c r="AK879" s="64"/>
      <c r="AL879" s="64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</row>
    <row r="880" ht="16.5" customHeight="1">
      <c r="A880" s="62"/>
      <c r="B880" s="62"/>
      <c r="C880" s="62"/>
      <c r="D880" s="62"/>
      <c r="E880" s="62"/>
      <c r="F880" s="63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4"/>
      <c r="AG880" s="64"/>
      <c r="AH880" s="64"/>
      <c r="AI880" s="64"/>
      <c r="AJ880" s="64"/>
      <c r="AK880" s="64"/>
      <c r="AL880" s="64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</row>
    <row r="881" ht="16.5" customHeight="1">
      <c r="A881" s="62"/>
      <c r="B881" s="62"/>
      <c r="C881" s="62"/>
      <c r="D881" s="62"/>
      <c r="E881" s="62"/>
      <c r="F881" s="63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4"/>
      <c r="AG881" s="64"/>
      <c r="AH881" s="64"/>
      <c r="AI881" s="64"/>
      <c r="AJ881" s="64"/>
      <c r="AK881" s="64"/>
      <c r="AL881" s="64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</row>
    <row r="882" ht="16.5" customHeight="1">
      <c r="A882" s="62"/>
      <c r="B882" s="62"/>
      <c r="C882" s="62"/>
      <c r="D882" s="62"/>
      <c r="E882" s="62"/>
      <c r="F882" s="63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4"/>
      <c r="AG882" s="64"/>
      <c r="AH882" s="64"/>
      <c r="AI882" s="64"/>
      <c r="AJ882" s="64"/>
      <c r="AK882" s="64"/>
      <c r="AL882" s="64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</row>
    <row r="883" ht="16.5" customHeight="1">
      <c r="A883" s="62"/>
      <c r="B883" s="62"/>
      <c r="C883" s="62"/>
      <c r="D883" s="62"/>
      <c r="E883" s="62"/>
      <c r="F883" s="63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4"/>
      <c r="AG883" s="64"/>
      <c r="AH883" s="64"/>
      <c r="AI883" s="64"/>
      <c r="AJ883" s="64"/>
      <c r="AK883" s="64"/>
      <c r="AL883" s="64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</row>
    <row r="884" ht="16.5" customHeight="1">
      <c r="A884" s="62"/>
      <c r="B884" s="62"/>
      <c r="C884" s="62"/>
      <c r="D884" s="62"/>
      <c r="E884" s="62"/>
      <c r="F884" s="63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4"/>
      <c r="AG884" s="64"/>
      <c r="AH884" s="64"/>
      <c r="AI884" s="64"/>
      <c r="AJ884" s="64"/>
      <c r="AK884" s="64"/>
      <c r="AL884" s="64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</row>
    <row r="885" ht="16.5" customHeight="1">
      <c r="A885" s="62"/>
      <c r="B885" s="62"/>
      <c r="C885" s="62"/>
      <c r="D885" s="62"/>
      <c r="E885" s="62"/>
      <c r="F885" s="63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4"/>
      <c r="AG885" s="64"/>
      <c r="AH885" s="64"/>
      <c r="AI885" s="64"/>
      <c r="AJ885" s="64"/>
      <c r="AK885" s="64"/>
      <c r="AL885" s="64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</row>
    <row r="886" ht="16.5" customHeight="1">
      <c r="A886" s="62"/>
      <c r="B886" s="62"/>
      <c r="C886" s="62"/>
      <c r="D886" s="62"/>
      <c r="E886" s="62"/>
      <c r="F886" s="63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4"/>
      <c r="AG886" s="64"/>
      <c r="AH886" s="64"/>
      <c r="AI886" s="64"/>
      <c r="AJ886" s="64"/>
      <c r="AK886" s="64"/>
      <c r="AL886" s="64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</row>
    <row r="887" ht="16.5" customHeight="1">
      <c r="A887" s="62"/>
      <c r="B887" s="62"/>
      <c r="C887" s="62"/>
      <c r="D887" s="62"/>
      <c r="E887" s="62"/>
      <c r="F887" s="63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4"/>
      <c r="AG887" s="64"/>
      <c r="AH887" s="64"/>
      <c r="AI887" s="64"/>
      <c r="AJ887" s="64"/>
      <c r="AK887" s="64"/>
      <c r="AL887" s="64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</row>
    <row r="888" ht="16.5" customHeight="1">
      <c r="A888" s="62"/>
      <c r="B888" s="62"/>
      <c r="C888" s="62"/>
      <c r="D888" s="62"/>
      <c r="E888" s="62"/>
      <c r="F888" s="63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4"/>
      <c r="AG888" s="64"/>
      <c r="AH888" s="64"/>
      <c r="AI888" s="64"/>
      <c r="AJ888" s="64"/>
      <c r="AK888" s="64"/>
      <c r="AL888" s="64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</row>
    <row r="889" ht="16.5" customHeight="1">
      <c r="A889" s="62"/>
      <c r="B889" s="62"/>
      <c r="C889" s="62"/>
      <c r="D889" s="62"/>
      <c r="E889" s="62"/>
      <c r="F889" s="63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4"/>
      <c r="AG889" s="64"/>
      <c r="AH889" s="64"/>
      <c r="AI889" s="64"/>
      <c r="AJ889" s="64"/>
      <c r="AK889" s="64"/>
      <c r="AL889" s="64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</row>
    <row r="890" ht="16.5" customHeight="1">
      <c r="A890" s="62"/>
      <c r="B890" s="62"/>
      <c r="C890" s="62"/>
      <c r="D890" s="62"/>
      <c r="E890" s="62"/>
      <c r="F890" s="63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4"/>
      <c r="AG890" s="64"/>
      <c r="AH890" s="64"/>
      <c r="AI890" s="64"/>
      <c r="AJ890" s="64"/>
      <c r="AK890" s="64"/>
      <c r="AL890" s="64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</row>
    <row r="891" ht="16.5" customHeight="1">
      <c r="A891" s="62"/>
      <c r="B891" s="62"/>
      <c r="C891" s="62"/>
      <c r="D891" s="62"/>
      <c r="E891" s="62"/>
      <c r="F891" s="63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4"/>
      <c r="AG891" s="64"/>
      <c r="AH891" s="64"/>
      <c r="AI891" s="64"/>
      <c r="AJ891" s="64"/>
      <c r="AK891" s="64"/>
      <c r="AL891" s="64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</row>
    <row r="892" ht="16.5" customHeight="1">
      <c r="A892" s="62"/>
      <c r="B892" s="62"/>
      <c r="C892" s="62"/>
      <c r="D892" s="62"/>
      <c r="E892" s="62"/>
      <c r="F892" s="63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4"/>
      <c r="AG892" s="64"/>
      <c r="AH892" s="64"/>
      <c r="AI892" s="64"/>
      <c r="AJ892" s="64"/>
      <c r="AK892" s="64"/>
      <c r="AL892" s="64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</row>
    <row r="893" ht="16.5" customHeight="1">
      <c r="A893" s="62"/>
      <c r="B893" s="62"/>
      <c r="C893" s="62"/>
      <c r="D893" s="62"/>
      <c r="E893" s="62"/>
      <c r="F893" s="63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4"/>
      <c r="AG893" s="64"/>
      <c r="AH893" s="64"/>
      <c r="AI893" s="64"/>
      <c r="AJ893" s="64"/>
      <c r="AK893" s="64"/>
      <c r="AL893" s="64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</row>
    <row r="894" ht="16.5" customHeight="1">
      <c r="A894" s="62"/>
      <c r="B894" s="62"/>
      <c r="C894" s="62"/>
      <c r="D894" s="62"/>
      <c r="E894" s="62"/>
      <c r="F894" s="63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4"/>
      <c r="AG894" s="64"/>
      <c r="AH894" s="64"/>
      <c r="AI894" s="64"/>
      <c r="AJ894" s="64"/>
      <c r="AK894" s="64"/>
      <c r="AL894" s="64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</row>
    <row r="895" ht="16.5" customHeight="1">
      <c r="A895" s="62"/>
      <c r="B895" s="62"/>
      <c r="C895" s="62"/>
      <c r="D895" s="62"/>
      <c r="E895" s="62"/>
      <c r="F895" s="63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4"/>
      <c r="AG895" s="64"/>
      <c r="AH895" s="64"/>
      <c r="AI895" s="64"/>
      <c r="AJ895" s="64"/>
      <c r="AK895" s="64"/>
      <c r="AL895" s="64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</row>
    <row r="896" ht="16.5" customHeight="1">
      <c r="A896" s="62"/>
      <c r="B896" s="62"/>
      <c r="C896" s="62"/>
      <c r="D896" s="62"/>
      <c r="E896" s="62"/>
      <c r="F896" s="63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4"/>
      <c r="AG896" s="64"/>
      <c r="AH896" s="64"/>
      <c r="AI896" s="64"/>
      <c r="AJ896" s="64"/>
      <c r="AK896" s="64"/>
      <c r="AL896" s="64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</row>
    <row r="897" ht="16.5" customHeight="1">
      <c r="A897" s="62"/>
      <c r="B897" s="62"/>
      <c r="C897" s="62"/>
      <c r="D897" s="62"/>
      <c r="E897" s="62"/>
      <c r="F897" s="63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4"/>
      <c r="AG897" s="64"/>
      <c r="AH897" s="64"/>
      <c r="AI897" s="64"/>
      <c r="AJ897" s="64"/>
      <c r="AK897" s="64"/>
      <c r="AL897" s="64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</row>
    <row r="898" ht="16.5" customHeight="1">
      <c r="A898" s="62"/>
      <c r="B898" s="62"/>
      <c r="C898" s="62"/>
      <c r="D898" s="62"/>
      <c r="E898" s="62"/>
      <c r="F898" s="63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4"/>
      <c r="AG898" s="64"/>
      <c r="AH898" s="64"/>
      <c r="AI898" s="64"/>
      <c r="AJ898" s="64"/>
      <c r="AK898" s="64"/>
      <c r="AL898" s="64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</row>
    <row r="899" ht="16.5" customHeight="1">
      <c r="A899" s="62"/>
      <c r="B899" s="62"/>
      <c r="C899" s="62"/>
      <c r="D899" s="62"/>
      <c r="E899" s="62"/>
      <c r="F899" s="63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4"/>
      <c r="AG899" s="64"/>
      <c r="AH899" s="64"/>
      <c r="AI899" s="64"/>
      <c r="AJ899" s="64"/>
      <c r="AK899" s="64"/>
      <c r="AL899" s="64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</row>
    <row r="900" ht="16.5" customHeight="1">
      <c r="A900" s="62"/>
      <c r="B900" s="62"/>
      <c r="C900" s="62"/>
      <c r="D900" s="62"/>
      <c r="E900" s="62"/>
      <c r="F900" s="63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4"/>
      <c r="AG900" s="64"/>
      <c r="AH900" s="64"/>
      <c r="AI900" s="64"/>
      <c r="AJ900" s="64"/>
      <c r="AK900" s="64"/>
      <c r="AL900" s="64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</row>
    <row r="901" ht="16.5" customHeight="1">
      <c r="A901" s="62"/>
      <c r="B901" s="62"/>
      <c r="C901" s="62"/>
      <c r="D901" s="62"/>
      <c r="E901" s="62"/>
      <c r="F901" s="63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4"/>
      <c r="AG901" s="64"/>
      <c r="AH901" s="64"/>
      <c r="AI901" s="64"/>
      <c r="AJ901" s="64"/>
      <c r="AK901" s="64"/>
      <c r="AL901" s="64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</row>
    <row r="902" ht="16.5" customHeight="1">
      <c r="A902" s="62"/>
      <c r="B902" s="62"/>
      <c r="C902" s="62"/>
      <c r="D902" s="62"/>
      <c r="E902" s="62"/>
      <c r="F902" s="63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4"/>
      <c r="AG902" s="64"/>
      <c r="AH902" s="64"/>
      <c r="AI902" s="64"/>
      <c r="AJ902" s="64"/>
      <c r="AK902" s="64"/>
      <c r="AL902" s="64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</row>
    <row r="903" ht="16.5" customHeight="1">
      <c r="A903" s="62"/>
      <c r="B903" s="62"/>
      <c r="C903" s="62"/>
      <c r="D903" s="62"/>
      <c r="E903" s="62"/>
      <c r="F903" s="63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4"/>
      <c r="AG903" s="64"/>
      <c r="AH903" s="64"/>
      <c r="AI903" s="64"/>
      <c r="AJ903" s="64"/>
      <c r="AK903" s="64"/>
      <c r="AL903" s="64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</row>
    <row r="904" ht="16.5" customHeight="1">
      <c r="A904" s="62"/>
      <c r="B904" s="62"/>
      <c r="C904" s="62"/>
      <c r="D904" s="62"/>
      <c r="E904" s="62"/>
      <c r="F904" s="63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4"/>
      <c r="AG904" s="64"/>
      <c r="AH904" s="64"/>
      <c r="AI904" s="64"/>
      <c r="AJ904" s="64"/>
      <c r="AK904" s="64"/>
      <c r="AL904" s="64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</row>
    <row r="905" ht="16.5" customHeight="1">
      <c r="A905" s="62"/>
      <c r="B905" s="62"/>
      <c r="C905" s="62"/>
      <c r="D905" s="62"/>
      <c r="E905" s="62"/>
      <c r="F905" s="63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4"/>
      <c r="AG905" s="64"/>
      <c r="AH905" s="64"/>
      <c r="AI905" s="64"/>
      <c r="AJ905" s="64"/>
      <c r="AK905" s="64"/>
      <c r="AL905" s="64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</row>
    <row r="906" ht="16.5" customHeight="1">
      <c r="A906" s="62"/>
      <c r="B906" s="62"/>
      <c r="C906" s="62"/>
      <c r="D906" s="62"/>
      <c r="E906" s="62"/>
      <c r="F906" s="63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4"/>
      <c r="AG906" s="64"/>
      <c r="AH906" s="64"/>
      <c r="AI906" s="64"/>
      <c r="AJ906" s="64"/>
      <c r="AK906" s="64"/>
      <c r="AL906" s="64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</row>
    <row r="907" ht="16.5" customHeight="1">
      <c r="A907" s="62"/>
      <c r="B907" s="62"/>
      <c r="C907" s="62"/>
      <c r="D907" s="62"/>
      <c r="E907" s="62"/>
      <c r="F907" s="63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4"/>
      <c r="AG907" s="64"/>
      <c r="AH907" s="64"/>
      <c r="AI907" s="64"/>
      <c r="AJ907" s="64"/>
      <c r="AK907" s="64"/>
      <c r="AL907" s="64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</row>
    <row r="908" ht="16.5" customHeight="1">
      <c r="A908" s="62"/>
      <c r="B908" s="62"/>
      <c r="C908" s="62"/>
      <c r="D908" s="62"/>
      <c r="E908" s="62"/>
      <c r="F908" s="63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4"/>
      <c r="AG908" s="64"/>
      <c r="AH908" s="64"/>
      <c r="AI908" s="64"/>
      <c r="AJ908" s="64"/>
      <c r="AK908" s="64"/>
      <c r="AL908" s="64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</row>
    <row r="909" ht="16.5" customHeight="1">
      <c r="A909" s="62"/>
      <c r="B909" s="62"/>
      <c r="C909" s="62"/>
      <c r="D909" s="62"/>
      <c r="E909" s="62"/>
      <c r="F909" s="63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4"/>
      <c r="AG909" s="64"/>
      <c r="AH909" s="64"/>
      <c r="AI909" s="64"/>
      <c r="AJ909" s="64"/>
      <c r="AK909" s="64"/>
      <c r="AL909" s="64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</row>
    <row r="910" ht="16.5" customHeight="1">
      <c r="A910" s="62"/>
      <c r="B910" s="62"/>
      <c r="C910" s="62"/>
      <c r="D910" s="62"/>
      <c r="E910" s="62"/>
      <c r="F910" s="63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4"/>
      <c r="AG910" s="64"/>
      <c r="AH910" s="64"/>
      <c r="AI910" s="64"/>
      <c r="AJ910" s="64"/>
      <c r="AK910" s="64"/>
      <c r="AL910" s="64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</row>
    <row r="911" ht="16.5" customHeight="1">
      <c r="A911" s="62"/>
      <c r="B911" s="62"/>
      <c r="C911" s="62"/>
      <c r="D911" s="62"/>
      <c r="E911" s="62"/>
      <c r="F911" s="63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4"/>
      <c r="AG911" s="64"/>
      <c r="AH911" s="64"/>
      <c r="AI911" s="64"/>
      <c r="AJ911" s="64"/>
      <c r="AK911" s="64"/>
      <c r="AL911" s="64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</row>
    <row r="912" ht="16.5" customHeight="1">
      <c r="A912" s="62"/>
      <c r="B912" s="62"/>
      <c r="C912" s="62"/>
      <c r="D912" s="62"/>
      <c r="E912" s="62"/>
      <c r="F912" s="63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4"/>
      <c r="AG912" s="64"/>
      <c r="AH912" s="64"/>
      <c r="AI912" s="64"/>
      <c r="AJ912" s="64"/>
      <c r="AK912" s="64"/>
      <c r="AL912" s="64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</row>
    <row r="913" ht="16.5" customHeight="1">
      <c r="A913" s="62"/>
      <c r="B913" s="62"/>
      <c r="C913" s="62"/>
      <c r="D913" s="62"/>
      <c r="E913" s="62"/>
      <c r="F913" s="63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4"/>
      <c r="AG913" s="64"/>
      <c r="AH913" s="64"/>
      <c r="AI913" s="64"/>
      <c r="AJ913" s="64"/>
      <c r="AK913" s="64"/>
      <c r="AL913" s="64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</row>
    <row r="914" ht="16.5" customHeight="1">
      <c r="A914" s="62"/>
      <c r="B914" s="62"/>
      <c r="C914" s="62"/>
      <c r="D914" s="62"/>
      <c r="E914" s="62"/>
      <c r="F914" s="63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4"/>
      <c r="AG914" s="64"/>
      <c r="AH914" s="64"/>
      <c r="AI914" s="64"/>
      <c r="AJ914" s="64"/>
      <c r="AK914" s="64"/>
      <c r="AL914" s="64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</row>
    <row r="915" ht="16.5" customHeight="1">
      <c r="A915" s="62"/>
      <c r="B915" s="62"/>
      <c r="C915" s="62"/>
      <c r="D915" s="62"/>
      <c r="E915" s="62"/>
      <c r="F915" s="63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4"/>
      <c r="AG915" s="64"/>
      <c r="AH915" s="64"/>
      <c r="AI915" s="64"/>
      <c r="AJ915" s="64"/>
      <c r="AK915" s="64"/>
      <c r="AL915" s="64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</row>
    <row r="916" ht="16.5" customHeight="1">
      <c r="A916" s="62"/>
      <c r="B916" s="62"/>
      <c r="C916" s="62"/>
      <c r="D916" s="62"/>
      <c r="E916" s="62"/>
      <c r="F916" s="63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4"/>
      <c r="AG916" s="64"/>
      <c r="AH916" s="64"/>
      <c r="AI916" s="64"/>
      <c r="AJ916" s="64"/>
      <c r="AK916" s="64"/>
      <c r="AL916" s="64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</row>
    <row r="917" ht="16.5" customHeight="1">
      <c r="A917" s="62"/>
      <c r="B917" s="62"/>
      <c r="C917" s="62"/>
      <c r="D917" s="62"/>
      <c r="E917" s="62"/>
      <c r="F917" s="63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4"/>
      <c r="AG917" s="64"/>
      <c r="AH917" s="64"/>
      <c r="AI917" s="64"/>
      <c r="AJ917" s="64"/>
      <c r="AK917" s="64"/>
      <c r="AL917" s="64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</row>
    <row r="918" ht="16.5" customHeight="1">
      <c r="A918" s="62"/>
      <c r="B918" s="62"/>
      <c r="C918" s="62"/>
      <c r="D918" s="62"/>
      <c r="E918" s="62"/>
      <c r="F918" s="63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4"/>
      <c r="AG918" s="64"/>
      <c r="AH918" s="64"/>
      <c r="AI918" s="64"/>
      <c r="AJ918" s="64"/>
      <c r="AK918" s="64"/>
      <c r="AL918" s="64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</row>
    <row r="919" ht="16.5" customHeight="1">
      <c r="A919" s="62"/>
      <c r="B919" s="62"/>
      <c r="C919" s="62"/>
      <c r="D919" s="62"/>
      <c r="E919" s="62"/>
      <c r="F919" s="63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4"/>
      <c r="AG919" s="64"/>
      <c r="AH919" s="64"/>
      <c r="AI919" s="64"/>
      <c r="AJ919" s="64"/>
      <c r="AK919" s="64"/>
      <c r="AL919" s="64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</row>
    <row r="920" ht="16.5" customHeight="1">
      <c r="A920" s="62"/>
      <c r="B920" s="62"/>
      <c r="C920" s="62"/>
      <c r="D920" s="62"/>
      <c r="E920" s="62"/>
      <c r="F920" s="63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4"/>
      <c r="AG920" s="64"/>
      <c r="AH920" s="64"/>
      <c r="AI920" s="64"/>
      <c r="AJ920" s="64"/>
      <c r="AK920" s="64"/>
      <c r="AL920" s="64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</row>
    <row r="921" ht="16.5" customHeight="1">
      <c r="A921" s="62"/>
      <c r="B921" s="62"/>
      <c r="C921" s="62"/>
      <c r="D921" s="62"/>
      <c r="E921" s="62"/>
      <c r="F921" s="63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4"/>
      <c r="AG921" s="64"/>
      <c r="AH921" s="64"/>
      <c r="AI921" s="64"/>
      <c r="AJ921" s="64"/>
      <c r="AK921" s="64"/>
      <c r="AL921" s="64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</row>
    <row r="922" ht="16.5" customHeight="1">
      <c r="A922" s="62"/>
      <c r="B922" s="62"/>
      <c r="C922" s="62"/>
      <c r="D922" s="62"/>
      <c r="E922" s="62"/>
      <c r="F922" s="63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4"/>
      <c r="AG922" s="64"/>
      <c r="AH922" s="64"/>
      <c r="AI922" s="64"/>
      <c r="AJ922" s="64"/>
      <c r="AK922" s="64"/>
      <c r="AL922" s="64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</row>
    <row r="923" ht="16.5" customHeight="1">
      <c r="A923" s="62"/>
      <c r="B923" s="62"/>
      <c r="C923" s="62"/>
      <c r="D923" s="62"/>
      <c r="E923" s="62"/>
      <c r="F923" s="63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4"/>
      <c r="AG923" s="64"/>
      <c r="AH923" s="64"/>
      <c r="AI923" s="64"/>
      <c r="AJ923" s="64"/>
      <c r="AK923" s="64"/>
      <c r="AL923" s="64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</row>
    <row r="924" ht="16.5" customHeight="1">
      <c r="A924" s="62"/>
      <c r="B924" s="62"/>
      <c r="C924" s="62"/>
      <c r="D924" s="62"/>
      <c r="E924" s="62"/>
      <c r="F924" s="63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4"/>
      <c r="AG924" s="64"/>
      <c r="AH924" s="64"/>
      <c r="AI924" s="64"/>
      <c r="AJ924" s="64"/>
      <c r="AK924" s="64"/>
      <c r="AL924" s="64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</row>
    <row r="925" ht="16.5" customHeight="1">
      <c r="A925" s="62"/>
      <c r="B925" s="62"/>
      <c r="C925" s="62"/>
      <c r="D925" s="62"/>
      <c r="E925" s="62"/>
      <c r="F925" s="63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4"/>
      <c r="AG925" s="64"/>
      <c r="AH925" s="64"/>
      <c r="AI925" s="64"/>
      <c r="AJ925" s="64"/>
      <c r="AK925" s="64"/>
      <c r="AL925" s="64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</row>
    <row r="926" ht="16.5" customHeight="1">
      <c r="A926" s="62"/>
      <c r="B926" s="62"/>
      <c r="C926" s="62"/>
      <c r="D926" s="62"/>
      <c r="E926" s="62"/>
      <c r="F926" s="63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4"/>
      <c r="AG926" s="64"/>
      <c r="AH926" s="64"/>
      <c r="AI926" s="64"/>
      <c r="AJ926" s="64"/>
      <c r="AK926" s="64"/>
      <c r="AL926" s="64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</row>
    <row r="927" ht="16.5" customHeight="1">
      <c r="A927" s="62"/>
      <c r="B927" s="62"/>
      <c r="C927" s="62"/>
      <c r="D927" s="62"/>
      <c r="E927" s="62"/>
      <c r="F927" s="63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4"/>
      <c r="AG927" s="64"/>
      <c r="AH927" s="64"/>
      <c r="AI927" s="64"/>
      <c r="AJ927" s="64"/>
      <c r="AK927" s="64"/>
      <c r="AL927" s="64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</row>
    <row r="928" ht="16.5" customHeight="1">
      <c r="A928" s="62"/>
      <c r="B928" s="62"/>
      <c r="C928" s="62"/>
      <c r="D928" s="62"/>
      <c r="E928" s="62"/>
      <c r="F928" s="63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4"/>
      <c r="AG928" s="64"/>
      <c r="AH928" s="64"/>
      <c r="AI928" s="64"/>
      <c r="AJ928" s="64"/>
      <c r="AK928" s="64"/>
      <c r="AL928" s="64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</row>
    <row r="929" ht="16.5" customHeight="1">
      <c r="A929" s="62"/>
      <c r="B929" s="62"/>
      <c r="C929" s="62"/>
      <c r="D929" s="62"/>
      <c r="E929" s="62"/>
      <c r="F929" s="63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4"/>
      <c r="AG929" s="64"/>
      <c r="AH929" s="64"/>
      <c r="AI929" s="64"/>
      <c r="AJ929" s="64"/>
      <c r="AK929" s="64"/>
      <c r="AL929" s="64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</row>
    <row r="930" ht="16.5" customHeight="1">
      <c r="A930" s="62"/>
      <c r="B930" s="62"/>
      <c r="C930" s="62"/>
      <c r="D930" s="62"/>
      <c r="E930" s="62"/>
      <c r="F930" s="63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4"/>
      <c r="AG930" s="64"/>
      <c r="AH930" s="64"/>
      <c r="AI930" s="64"/>
      <c r="AJ930" s="64"/>
      <c r="AK930" s="64"/>
      <c r="AL930" s="64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</row>
    <row r="931" ht="16.5" customHeight="1">
      <c r="A931" s="62"/>
      <c r="B931" s="62"/>
      <c r="C931" s="62"/>
      <c r="D931" s="62"/>
      <c r="E931" s="62"/>
      <c r="F931" s="63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4"/>
      <c r="AG931" s="64"/>
      <c r="AH931" s="64"/>
      <c r="AI931" s="64"/>
      <c r="AJ931" s="64"/>
      <c r="AK931" s="64"/>
      <c r="AL931" s="64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</row>
    <row r="932" ht="16.5" customHeight="1">
      <c r="A932" s="62"/>
      <c r="B932" s="62"/>
      <c r="C932" s="62"/>
      <c r="D932" s="62"/>
      <c r="E932" s="62"/>
      <c r="F932" s="63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4"/>
      <c r="AG932" s="64"/>
      <c r="AH932" s="64"/>
      <c r="AI932" s="64"/>
      <c r="AJ932" s="64"/>
      <c r="AK932" s="64"/>
      <c r="AL932" s="64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</row>
    <row r="933" ht="16.5" customHeight="1">
      <c r="A933" s="62"/>
      <c r="B933" s="62"/>
      <c r="C933" s="62"/>
      <c r="D933" s="62"/>
      <c r="E933" s="62"/>
      <c r="F933" s="63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4"/>
      <c r="AG933" s="64"/>
      <c r="AH933" s="64"/>
      <c r="AI933" s="64"/>
      <c r="AJ933" s="64"/>
      <c r="AK933" s="64"/>
      <c r="AL933" s="64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</row>
    <row r="934" ht="16.5" customHeight="1">
      <c r="A934" s="62"/>
      <c r="B934" s="62"/>
      <c r="C934" s="62"/>
      <c r="D934" s="62"/>
      <c r="E934" s="62"/>
      <c r="F934" s="63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4"/>
      <c r="AG934" s="64"/>
      <c r="AH934" s="64"/>
      <c r="AI934" s="64"/>
      <c r="AJ934" s="64"/>
      <c r="AK934" s="64"/>
      <c r="AL934" s="64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</row>
    <row r="935" ht="16.5" customHeight="1">
      <c r="A935" s="62"/>
      <c r="B935" s="62"/>
      <c r="C935" s="62"/>
      <c r="D935" s="62"/>
      <c r="E935" s="62"/>
      <c r="F935" s="63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4"/>
      <c r="AG935" s="64"/>
      <c r="AH935" s="64"/>
      <c r="AI935" s="64"/>
      <c r="AJ935" s="64"/>
      <c r="AK935" s="64"/>
      <c r="AL935" s="64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</row>
    <row r="936" ht="16.5" customHeight="1">
      <c r="A936" s="62"/>
      <c r="B936" s="62"/>
      <c r="C936" s="62"/>
      <c r="D936" s="62"/>
      <c r="E936" s="62"/>
      <c r="F936" s="63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4"/>
      <c r="AG936" s="64"/>
      <c r="AH936" s="64"/>
      <c r="AI936" s="64"/>
      <c r="AJ936" s="64"/>
      <c r="AK936" s="64"/>
      <c r="AL936" s="64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</row>
    <row r="937" ht="16.5" customHeight="1">
      <c r="A937" s="62"/>
      <c r="B937" s="62"/>
      <c r="C937" s="62"/>
      <c r="D937" s="62"/>
      <c r="E937" s="62"/>
      <c r="F937" s="63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4"/>
      <c r="AG937" s="64"/>
      <c r="AH937" s="64"/>
      <c r="AI937" s="64"/>
      <c r="AJ937" s="64"/>
      <c r="AK937" s="64"/>
      <c r="AL937" s="64"/>
      <c r="AM937" s="62"/>
      <c r="AN937" s="62"/>
      <c r="AO937" s="62"/>
      <c r="AP937" s="62"/>
      <c r="AQ937" s="62"/>
      <c r="AR937" s="62"/>
      <c r="AS937" s="62"/>
      <c r="AT937" s="62"/>
      <c r="AU937" s="62"/>
      <c r="AV937" s="62"/>
      <c r="AW937" s="62"/>
    </row>
    <row r="938" ht="16.5" customHeight="1">
      <c r="A938" s="62"/>
      <c r="B938" s="62"/>
      <c r="C938" s="62"/>
      <c r="D938" s="62"/>
      <c r="E938" s="62"/>
      <c r="F938" s="63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4"/>
      <c r="AG938" s="64"/>
      <c r="AH938" s="64"/>
      <c r="AI938" s="64"/>
      <c r="AJ938" s="64"/>
      <c r="AK938" s="64"/>
      <c r="AL938" s="64"/>
      <c r="AM938" s="62"/>
      <c r="AN938" s="62"/>
      <c r="AO938" s="62"/>
      <c r="AP938" s="62"/>
      <c r="AQ938" s="62"/>
      <c r="AR938" s="62"/>
      <c r="AS938" s="62"/>
      <c r="AT938" s="62"/>
      <c r="AU938" s="62"/>
      <c r="AV938" s="62"/>
      <c r="AW938" s="62"/>
    </row>
    <row r="939" ht="16.5" customHeight="1">
      <c r="A939" s="62"/>
      <c r="B939" s="62"/>
      <c r="C939" s="62"/>
      <c r="D939" s="62"/>
      <c r="E939" s="62"/>
      <c r="F939" s="63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4"/>
      <c r="AG939" s="64"/>
      <c r="AH939" s="64"/>
      <c r="AI939" s="64"/>
      <c r="AJ939" s="64"/>
      <c r="AK939" s="64"/>
      <c r="AL939" s="64"/>
      <c r="AM939" s="62"/>
      <c r="AN939" s="62"/>
      <c r="AO939" s="62"/>
      <c r="AP939" s="62"/>
      <c r="AQ939" s="62"/>
      <c r="AR939" s="62"/>
      <c r="AS939" s="62"/>
      <c r="AT939" s="62"/>
      <c r="AU939" s="62"/>
      <c r="AV939" s="62"/>
      <c r="AW939" s="62"/>
    </row>
    <row r="940" ht="16.5" customHeight="1">
      <c r="A940" s="62"/>
      <c r="B940" s="62"/>
      <c r="C940" s="62"/>
      <c r="D940" s="62"/>
      <c r="E940" s="62"/>
      <c r="F940" s="63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4"/>
      <c r="AG940" s="64"/>
      <c r="AH940" s="64"/>
      <c r="AI940" s="64"/>
      <c r="AJ940" s="64"/>
      <c r="AK940" s="64"/>
      <c r="AL940" s="64"/>
      <c r="AM940" s="62"/>
      <c r="AN940" s="62"/>
      <c r="AO940" s="62"/>
      <c r="AP940" s="62"/>
      <c r="AQ940" s="62"/>
      <c r="AR940" s="62"/>
      <c r="AS940" s="62"/>
      <c r="AT940" s="62"/>
      <c r="AU940" s="62"/>
      <c r="AV940" s="62"/>
      <c r="AW940" s="62"/>
    </row>
    <row r="941" ht="16.5" customHeight="1">
      <c r="A941" s="62"/>
      <c r="B941" s="62"/>
      <c r="C941" s="62"/>
      <c r="D941" s="62"/>
      <c r="E941" s="62"/>
      <c r="F941" s="63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4"/>
      <c r="AG941" s="64"/>
      <c r="AH941" s="64"/>
      <c r="AI941" s="64"/>
      <c r="AJ941" s="64"/>
      <c r="AK941" s="64"/>
      <c r="AL941" s="64"/>
      <c r="AM941" s="62"/>
      <c r="AN941" s="62"/>
      <c r="AO941" s="62"/>
      <c r="AP941" s="62"/>
      <c r="AQ941" s="62"/>
      <c r="AR941" s="62"/>
      <c r="AS941" s="62"/>
      <c r="AT941" s="62"/>
      <c r="AU941" s="62"/>
      <c r="AV941" s="62"/>
      <c r="AW941" s="62"/>
    </row>
    <row r="942" ht="16.5" customHeight="1">
      <c r="A942" s="62"/>
      <c r="B942" s="62"/>
      <c r="C942" s="62"/>
      <c r="D942" s="62"/>
      <c r="E942" s="62"/>
      <c r="F942" s="63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4"/>
      <c r="AG942" s="64"/>
      <c r="AH942" s="64"/>
      <c r="AI942" s="64"/>
      <c r="AJ942" s="64"/>
      <c r="AK942" s="64"/>
      <c r="AL942" s="64"/>
      <c r="AM942" s="62"/>
      <c r="AN942" s="62"/>
      <c r="AO942" s="62"/>
      <c r="AP942" s="62"/>
      <c r="AQ942" s="62"/>
      <c r="AR942" s="62"/>
      <c r="AS942" s="62"/>
      <c r="AT942" s="62"/>
      <c r="AU942" s="62"/>
      <c r="AV942" s="62"/>
      <c r="AW942" s="62"/>
    </row>
    <row r="943" ht="16.5" customHeight="1">
      <c r="A943" s="62"/>
      <c r="B943" s="62"/>
      <c r="C943" s="62"/>
      <c r="D943" s="62"/>
      <c r="E943" s="62"/>
      <c r="F943" s="63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4"/>
      <c r="AG943" s="64"/>
      <c r="AH943" s="64"/>
      <c r="AI943" s="64"/>
      <c r="AJ943" s="64"/>
      <c r="AK943" s="64"/>
      <c r="AL943" s="64"/>
      <c r="AM943" s="62"/>
      <c r="AN943" s="62"/>
      <c r="AO943" s="62"/>
      <c r="AP943" s="62"/>
      <c r="AQ943" s="62"/>
      <c r="AR943" s="62"/>
      <c r="AS943" s="62"/>
      <c r="AT943" s="62"/>
      <c r="AU943" s="62"/>
      <c r="AV943" s="62"/>
      <c r="AW943" s="62"/>
    </row>
    <row r="944" ht="16.5" customHeight="1">
      <c r="A944" s="62"/>
      <c r="B944" s="62"/>
      <c r="C944" s="62"/>
      <c r="D944" s="62"/>
      <c r="E944" s="62"/>
      <c r="F944" s="63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4"/>
      <c r="AG944" s="64"/>
      <c r="AH944" s="64"/>
      <c r="AI944" s="64"/>
      <c r="AJ944" s="64"/>
      <c r="AK944" s="64"/>
      <c r="AL944" s="64"/>
      <c r="AM944" s="62"/>
      <c r="AN944" s="62"/>
      <c r="AO944" s="62"/>
      <c r="AP944" s="62"/>
      <c r="AQ944" s="62"/>
      <c r="AR944" s="62"/>
      <c r="AS944" s="62"/>
      <c r="AT944" s="62"/>
      <c r="AU944" s="62"/>
      <c r="AV944" s="62"/>
      <c r="AW944" s="62"/>
    </row>
    <row r="945" ht="16.5" customHeight="1">
      <c r="A945" s="62"/>
      <c r="B945" s="62"/>
      <c r="C945" s="62"/>
      <c r="D945" s="62"/>
      <c r="E945" s="62"/>
      <c r="F945" s="63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4"/>
      <c r="AG945" s="64"/>
      <c r="AH945" s="64"/>
      <c r="AI945" s="64"/>
      <c r="AJ945" s="64"/>
      <c r="AK945" s="64"/>
      <c r="AL945" s="64"/>
      <c r="AM945" s="62"/>
      <c r="AN945" s="62"/>
      <c r="AO945" s="62"/>
      <c r="AP945" s="62"/>
      <c r="AQ945" s="62"/>
      <c r="AR945" s="62"/>
      <c r="AS945" s="62"/>
      <c r="AT945" s="62"/>
      <c r="AU945" s="62"/>
      <c r="AV945" s="62"/>
      <c r="AW945" s="62"/>
    </row>
    <row r="946" ht="16.5" customHeight="1">
      <c r="A946" s="62"/>
      <c r="B946" s="62"/>
      <c r="C946" s="62"/>
      <c r="D946" s="62"/>
      <c r="E946" s="62"/>
      <c r="F946" s="63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4"/>
      <c r="AG946" s="64"/>
      <c r="AH946" s="64"/>
      <c r="AI946" s="64"/>
      <c r="AJ946" s="64"/>
      <c r="AK946" s="64"/>
      <c r="AL946" s="64"/>
      <c r="AM946" s="62"/>
      <c r="AN946" s="62"/>
      <c r="AO946" s="62"/>
      <c r="AP946" s="62"/>
      <c r="AQ946" s="62"/>
      <c r="AR946" s="62"/>
      <c r="AS946" s="62"/>
      <c r="AT946" s="62"/>
      <c r="AU946" s="62"/>
      <c r="AV946" s="62"/>
      <c r="AW946" s="62"/>
    </row>
    <row r="947" ht="16.5" customHeight="1">
      <c r="A947" s="62"/>
      <c r="B947" s="62"/>
      <c r="C947" s="62"/>
      <c r="D947" s="62"/>
      <c r="E947" s="62"/>
      <c r="F947" s="63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4"/>
      <c r="AG947" s="64"/>
      <c r="AH947" s="64"/>
      <c r="AI947" s="64"/>
      <c r="AJ947" s="64"/>
      <c r="AK947" s="64"/>
      <c r="AL947" s="64"/>
      <c r="AM947" s="62"/>
      <c r="AN947" s="62"/>
      <c r="AO947" s="62"/>
      <c r="AP947" s="62"/>
      <c r="AQ947" s="62"/>
      <c r="AR947" s="62"/>
      <c r="AS947" s="62"/>
      <c r="AT947" s="62"/>
      <c r="AU947" s="62"/>
      <c r="AV947" s="62"/>
      <c r="AW947" s="62"/>
    </row>
    <row r="948" ht="16.5" customHeight="1">
      <c r="A948" s="62"/>
      <c r="B948" s="62"/>
      <c r="C948" s="62"/>
      <c r="D948" s="62"/>
      <c r="E948" s="62"/>
      <c r="F948" s="63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4"/>
      <c r="AG948" s="64"/>
      <c r="AH948" s="64"/>
      <c r="AI948" s="64"/>
      <c r="AJ948" s="64"/>
      <c r="AK948" s="64"/>
      <c r="AL948" s="64"/>
      <c r="AM948" s="62"/>
      <c r="AN948" s="62"/>
      <c r="AO948" s="62"/>
      <c r="AP948" s="62"/>
      <c r="AQ948" s="62"/>
      <c r="AR948" s="62"/>
      <c r="AS948" s="62"/>
      <c r="AT948" s="62"/>
      <c r="AU948" s="62"/>
      <c r="AV948" s="62"/>
      <c r="AW948" s="62"/>
    </row>
    <row r="949" ht="16.5" customHeight="1">
      <c r="A949" s="62"/>
      <c r="B949" s="62"/>
      <c r="C949" s="62"/>
      <c r="D949" s="62"/>
      <c r="E949" s="62"/>
      <c r="F949" s="63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4"/>
      <c r="AG949" s="64"/>
      <c r="AH949" s="64"/>
      <c r="AI949" s="64"/>
      <c r="AJ949" s="64"/>
      <c r="AK949" s="64"/>
      <c r="AL949" s="64"/>
      <c r="AM949" s="62"/>
      <c r="AN949" s="62"/>
      <c r="AO949" s="62"/>
      <c r="AP949" s="62"/>
      <c r="AQ949" s="62"/>
      <c r="AR949" s="62"/>
      <c r="AS949" s="62"/>
      <c r="AT949" s="62"/>
      <c r="AU949" s="62"/>
      <c r="AV949" s="62"/>
      <c r="AW949" s="62"/>
    </row>
    <row r="950" ht="16.5" customHeight="1">
      <c r="A950" s="62"/>
      <c r="B950" s="62"/>
      <c r="C950" s="62"/>
      <c r="D950" s="62"/>
      <c r="E950" s="62"/>
      <c r="F950" s="63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4"/>
      <c r="AG950" s="64"/>
      <c r="AH950" s="64"/>
      <c r="AI950" s="64"/>
      <c r="AJ950" s="64"/>
      <c r="AK950" s="64"/>
      <c r="AL950" s="64"/>
      <c r="AM950" s="62"/>
      <c r="AN950" s="62"/>
      <c r="AO950" s="62"/>
      <c r="AP950" s="62"/>
      <c r="AQ950" s="62"/>
      <c r="AR950" s="62"/>
      <c r="AS950" s="62"/>
      <c r="AT950" s="62"/>
      <c r="AU950" s="62"/>
      <c r="AV950" s="62"/>
      <c r="AW950" s="62"/>
    </row>
    <row r="951" ht="16.5" customHeight="1">
      <c r="A951" s="62"/>
      <c r="B951" s="62"/>
      <c r="C951" s="62"/>
      <c r="D951" s="62"/>
      <c r="E951" s="62"/>
      <c r="F951" s="63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4"/>
      <c r="AG951" s="64"/>
      <c r="AH951" s="64"/>
      <c r="AI951" s="64"/>
      <c r="AJ951" s="64"/>
      <c r="AK951" s="64"/>
      <c r="AL951" s="64"/>
      <c r="AM951" s="62"/>
      <c r="AN951" s="62"/>
      <c r="AO951" s="62"/>
      <c r="AP951" s="62"/>
      <c r="AQ951" s="62"/>
      <c r="AR951" s="62"/>
      <c r="AS951" s="62"/>
      <c r="AT951" s="62"/>
      <c r="AU951" s="62"/>
      <c r="AV951" s="62"/>
      <c r="AW951" s="62"/>
    </row>
    <row r="952" ht="16.5" customHeight="1">
      <c r="A952" s="62"/>
      <c r="B952" s="62"/>
      <c r="C952" s="62"/>
      <c r="D952" s="62"/>
      <c r="E952" s="62"/>
      <c r="F952" s="63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4"/>
      <c r="AG952" s="64"/>
      <c r="AH952" s="64"/>
      <c r="AI952" s="64"/>
      <c r="AJ952" s="64"/>
      <c r="AK952" s="64"/>
      <c r="AL952" s="64"/>
      <c r="AM952" s="62"/>
      <c r="AN952" s="62"/>
      <c r="AO952" s="62"/>
      <c r="AP952" s="62"/>
      <c r="AQ952" s="62"/>
      <c r="AR952" s="62"/>
      <c r="AS952" s="62"/>
      <c r="AT952" s="62"/>
      <c r="AU952" s="62"/>
      <c r="AV952" s="62"/>
      <c r="AW952" s="62"/>
    </row>
    <row r="953" ht="16.5" customHeight="1">
      <c r="A953" s="62"/>
      <c r="B953" s="62"/>
      <c r="C953" s="62"/>
      <c r="D953" s="62"/>
      <c r="E953" s="62"/>
      <c r="F953" s="63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4"/>
      <c r="AG953" s="64"/>
      <c r="AH953" s="64"/>
      <c r="AI953" s="64"/>
      <c r="AJ953" s="64"/>
      <c r="AK953" s="64"/>
      <c r="AL953" s="64"/>
      <c r="AM953" s="62"/>
      <c r="AN953" s="62"/>
      <c r="AO953" s="62"/>
      <c r="AP953" s="62"/>
      <c r="AQ953" s="62"/>
      <c r="AR953" s="62"/>
      <c r="AS953" s="62"/>
      <c r="AT953" s="62"/>
      <c r="AU953" s="62"/>
      <c r="AV953" s="62"/>
      <c r="AW953" s="62"/>
    </row>
    <row r="954" ht="16.5" customHeight="1">
      <c r="A954" s="62"/>
      <c r="B954" s="62"/>
      <c r="C954" s="62"/>
      <c r="D954" s="62"/>
      <c r="E954" s="62"/>
      <c r="F954" s="63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4"/>
      <c r="AG954" s="64"/>
      <c r="AH954" s="64"/>
      <c r="AI954" s="64"/>
      <c r="AJ954" s="64"/>
      <c r="AK954" s="64"/>
      <c r="AL954" s="64"/>
      <c r="AM954" s="62"/>
      <c r="AN954" s="62"/>
      <c r="AO954" s="62"/>
      <c r="AP954" s="62"/>
      <c r="AQ954" s="62"/>
      <c r="AR954" s="62"/>
      <c r="AS954" s="62"/>
      <c r="AT954" s="62"/>
      <c r="AU954" s="62"/>
      <c r="AV954" s="62"/>
      <c r="AW954" s="62"/>
    </row>
    <row r="955" ht="16.5" customHeight="1">
      <c r="A955" s="62"/>
      <c r="B955" s="62"/>
      <c r="C955" s="62"/>
      <c r="D955" s="62"/>
      <c r="E955" s="62"/>
      <c r="F955" s="63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4"/>
      <c r="AG955" s="64"/>
      <c r="AH955" s="64"/>
      <c r="AI955" s="64"/>
      <c r="AJ955" s="64"/>
      <c r="AK955" s="64"/>
      <c r="AL955" s="64"/>
      <c r="AM955" s="62"/>
      <c r="AN955" s="62"/>
      <c r="AO955" s="62"/>
      <c r="AP955" s="62"/>
      <c r="AQ955" s="62"/>
      <c r="AR955" s="62"/>
      <c r="AS955" s="62"/>
      <c r="AT955" s="62"/>
      <c r="AU955" s="62"/>
      <c r="AV955" s="62"/>
      <c r="AW955" s="62"/>
    </row>
    <row r="956" ht="16.5" customHeight="1">
      <c r="A956" s="62"/>
      <c r="B956" s="62"/>
      <c r="C956" s="62"/>
      <c r="D956" s="62"/>
      <c r="E956" s="62"/>
      <c r="F956" s="63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4"/>
      <c r="AG956" s="64"/>
      <c r="AH956" s="64"/>
      <c r="AI956" s="64"/>
      <c r="AJ956" s="64"/>
      <c r="AK956" s="64"/>
      <c r="AL956" s="64"/>
      <c r="AM956" s="62"/>
      <c r="AN956" s="62"/>
      <c r="AO956" s="62"/>
      <c r="AP956" s="62"/>
      <c r="AQ956" s="62"/>
      <c r="AR956" s="62"/>
      <c r="AS956" s="62"/>
      <c r="AT956" s="62"/>
      <c r="AU956" s="62"/>
      <c r="AV956" s="62"/>
      <c r="AW956" s="62"/>
    </row>
    <row r="957" ht="16.5" customHeight="1">
      <c r="A957" s="62"/>
      <c r="B957" s="62"/>
      <c r="C957" s="62"/>
      <c r="D957" s="62"/>
      <c r="E957" s="62"/>
      <c r="F957" s="63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4"/>
      <c r="AG957" s="64"/>
      <c r="AH957" s="64"/>
      <c r="AI957" s="64"/>
      <c r="AJ957" s="64"/>
      <c r="AK957" s="64"/>
      <c r="AL957" s="64"/>
      <c r="AM957" s="62"/>
      <c r="AN957" s="62"/>
      <c r="AO957" s="62"/>
      <c r="AP957" s="62"/>
      <c r="AQ957" s="62"/>
      <c r="AR957" s="62"/>
      <c r="AS957" s="62"/>
      <c r="AT957" s="62"/>
      <c r="AU957" s="62"/>
      <c r="AV957" s="62"/>
      <c r="AW957" s="62"/>
    </row>
    <row r="958" ht="16.5" customHeight="1">
      <c r="A958" s="62"/>
      <c r="B958" s="62"/>
      <c r="C958" s="62"/>
      <c r="D958" s="62"/>
      <c r="E958" s="62"/>
      <c r="F958" s="63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4"/>
      <c r="AG958" s="64"/>
      <c r="AH958" s="64"/>
      <c r="AI958" s="64"/>
      <c r="AJ958" s="64"/>
      <c r="AK958" s="64"/>
      <c r="AL958" s="64"/>
      <c r="AM958" s="62"/>
      <c r="AN958" s="62"/>
      <c r="AO958" s="62"/>
      <c r="AP958" s="62"/>
      <c r="AQ958" s="62"/>
      <c r="AR958" s="62"/>
      <c r="AS958" s="62"/>
      <c r="AT958" s="62"/>
      <c r="AU958" s="62"/>
      <c r="AV958" s="62"/>
      <c r="AW958" s="62"/>
    </row>
    <row r="959" ht="16.5" customHeight="1">
      <c r="A959" s="62"/>
      <c r="B959" s="62"/>
      <c r="C959" s="62"/>
      <c r="D959" s="62"/>
      <c r="E959" s="62"/>
      <c r="F959" s="63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4"/>
      <c r="AG959" s="64"/>
      <c r="AH959" s="64"/>
      <c r="AI959" s="64"/>
      <c r="AJ959" s="64"/>
      <c r="AK959" s="64"/>
      <c r="AL959" s="64"/>
      <c r="AM959" s="62"/>
      <c r="AN959" s="62"/>
      <c r="AO959" s="62"/>
      <c r="AP959" s="62"/>
      <c r="AQ959" s="62"/>
      <c r="AR959" s="62"/>
      <c r="AS959" s="62"/>
      <c r="AT959" s="62"/>
      <c r="AU959" s="62"/>
      <c r="AV959" s="62"/>
      <c r="AW959" s="62"/>
    </row>
    <row r="960" ht="16.5" customHeight="1">
      <c r="A960" s="62"/>
      <c r="B960" s="62"/>
      <c r="C960" s="62"/>
      <c r="D960" s="62"/>
      <c r="E960" s="62"/>
      <c r="F960" s="63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4"/>
      <c r="AG960" s="64"/>
      <c r="AH960" s="64"/>
      <c r="AI960" s="64"/>
      <c r="AJ960" s="64"/>
      <c r="AK960" s="64"/>
      <c r="AL960" s="64"/>
      <c r="AM960" s="62"/>
      <c r="AN960" s="62"/>
      <c r="AO960" s="62"/>
      <c r="AP960" s="62"/>
      <c r="AQ960" s="62"/>
      <c r="AR960" s="62"/>
      <c r="AS960" s="62"/>
      <c r="AT960" s="62"/>
      <c r="AU960" s="62"/>
      <c r="AV960" s="62"/>
      <c r="AW960" s="62"/>
    </row>
    <row r="961" ht="16.5" customHeight="1">
      <c r="A961" s="62"/>
      <c r="B961" s="62"/>
      <c r="C961" s="62"/>
      <c r="D961" s="62"/>
      <c r="E961" s="62"/>
      <c r="F961" s="63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4"/>
      <c r="AG961" s="64"/>
      <c r="AH961" s="64"/>
      <c r="AI961" s="64"/>
      <c r="AJ961" s="64"/>
      <c r="AK961" s="64"/>
      <c r="AL961" s="64"/>
      <c r="AM961" s="62"/>
      <c r="AN961" s="62"/>
      <c r="AO961" s="62"/>
      <c r="AP961" s="62"/>
      <c r="AQ961" s="62"/>
      <c r="AR961" s="62"/>
      <c r="AS961" s="62"/>
      <c r="AT961" s="62"/>
      <c r="AU961" s="62"/>
      <c r="AV961" s="62"/>
      <c r="AW961" s="62"/>
    </row>
    <row r="962" ht="16.5" customHeight="1">
      <c r="A962" s="62"/>
      <c r="B962" s="62"/>
      <c r="C962" s="62"/>
      <c r="D962" s="62"/>
      <c r="E962" s="62"/>
      <c r="F962" s="63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4"/>
      <c r="AG962" s="64"/>
      <c r="AH962" s="64"/>
      <c r="AI962" s="64"/>
      <c r="AJ962" s="64"/>
      <c r="AK962" s="64"/>
      <c r="AL962" s="64"/>
      <c r="AM962" s="62"/>
      <c r="AN962" s="62"/>
      <c r="AO962" s="62"/>
      <c r="AP962" s="62"/>
      <c r="AQ962" s="62"/>
      <c r="AR962" s="62"/>
      <c r="AS962" s="62"/>
      <c r="AT962" s="62"/>
      <c r="AU962" s="62"/>
      <c r="AV962" s="62"/>
      <c r="AW962" s="62"/>
    </row>
    <row r="963" ht="16.5" customHeight="1">
      <c r="A963" s="62"/>
      <c r="B963" s="62"/>
      <c r="C963" s="62"/>
      <c r="D963" s="62"/>
      <c r="E963" s="62"/>
      <c r="F963" s="63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4"/>
      <c r="AG963" s="64"/>
      <c r="AH963" s="64"/>
      <c r="AI963" s="64"/>
      <c r="AJ963" s="64"/>
      <c r="AK963" s="64"/>
      <c r="AL963" s="64"/>
      <c r="AM963" s="62"/>
      <c r="AN963" s="62"/>
      <c r="AO963" s="62"/>
      <c r="AP963" s="62"/>
      <c r="AQ963" s="62"/>
      <c r="AR963" s="62"/>
      <c r="AS963" s="62"/>
      <c r="AT963" s="62"/>
      <c r="AU963" s="62"/>
      <c r="AV963" s="62"/>
      <c r="AW963" s="62"/>
    </row>
    <row r="964" ht="16.5" customHeight="1">
      <c r="A964" s="62"/>
      <c r="B964" s="62"/>
      <c r="C964" s="62"/>
      <c r="D964" s="62"/>
      <c r="E964" s="62"/>
      <c r="F964" s="63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4"/>
      <c r="AG964" s="64"/>
      <c r="AH964" s="64"/>
      <c r="AI964" s="64"/>
      <c r="AJ964" s="64"/>
      <c r="AK964" s="64"/>
      <c r="AL964" s="64"/>
      <c r="AM964" s="62"/>
      <c r="AN964" s="62"/>
      <c r="AO964" s="62"/>
      <c r="AP964" s="62"/>
      <c r="AQ964" s="62"/>
      <c r="AR964" s="62"/>
      <c r="AS964" s="62"/>
      <c r="AT964" s="62"/>
      <c r="AU964" s="62"/>
      <c r="AV964" s="62"/>
      <c r="AW964" s="62"/>
    </row>
    <row r="965" ht="16.5" customHeight="1">
      <c r="A965" s="62"/>
      <c r="B965" s="62"/>
      <c r="C965" s="62"/>
      <c r="D965" s="62"/>
      <c r="E965" s="62"/>
      <c r="F965" s="63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4"/>
      <c r="AG965" s="64"/>
      <c r="AH965" s="64"/>
      <c r="AI965" s="64"/>
      <c r="AJ965" s="64"/>
      <c r="AK965" s="64"/>
      <c r="AL965" s="64"/>
      <c r="AM965" s="62"/>
      <c r="AN965" s="62"/>
      <c r="AO965" s="62"/>
      <c r="AP965" s="62"/>
      <c r="AQ965" s="62"/>
      <c r="AR965" s="62"/>
      <c r="AS965" s="62"/>
      <c r="AT965" s="62"/>
      <c r="AU965" s="62"/>
      <c r="AV965" s="62"/>
      <c r="AW965" s="62"/>
    </row>
    <row r="966" ht="16.5" customHeight="1">
      <c r="A966" s="62"/>
      <c r="B966" s="62"/>
      <c r="C966" s="62"/>
      <c r="D966" s="62"/>
      <c r="E966" s="62"/>
      <c r="F966" s="63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4"/>
      <c r="AG966" s="64"/>
      <c r="AH966" s="64"/>
      <c r="AI966" s="64"/>
      <c r="AJ966" s="64"/>
      <c r="AK966" s="64"/>
      <c r="AL966" s="64"/>
      <c r="AM966" s="62"/>
      <c r="AN966" s="62"/>
      <c r="AO966" s="62"/>
      <c r="AP966" s="62"/>
      <c r="AQ966" s="62"/>
      <c r="AR966" s="62"/>
      <c r="AS966" s="62"/>
      <c r="AT966" s="62"/>
      <c r="AU966" s="62"/>
      <c r="AV966" s="62"/>
      <c r="AW966" s="62"/>
    </row>
    <row r="967" ht="16.5" customHeight="1">
      <c r="A967" s="62"/>
      <c r="B967" s="62"/>
      <c r="C967" s="62"/>
      <c r="D967" s="62"/>
      <c r="E967" s="62"/>
      <c r="F967" s="63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4"/>
      <c r="AG967" s="64"/>
      <c r="AH967" s="64"/>
      <c r="AI967" s="64"/>
      <c r="AJ967" s="64"/>
      <c r="AK967" s="64"/>
      <c r="AL967" s="64"/>
      <c r="AM967" s="62"/>
      <c r="AN967" s="62"/>
      <c r="AO967" s="62"/>
      <c r="AP967" s="62"/>
      <c r="AQ967" s="62"/>
      <c r="AR967" s="62"/>
      <c r="AS967" s="62"/>
      <c r="AT967" s="62"/>
      <c r="AU967" s="62"/>
      <c r="AV967" s="62"/>
      <c r="AW967" s="62"/>
    </row>
    <row r="968" ht="16.5" customHeight="1">
      <c r="A968" s="62"/>
      <c r="B968" s="62"/>
      <c r="C968" s="62"/>
      <c r="D968" s="62"/>
      <c r="E968" s="62"/>
      <c r="F968" s="63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4"/>
      <c r="AG968" s="64"/>
      <c r="AH968" s="64"/>
      <c r="AI968" s="64"/>
      <c r="AJ968" s="64"/>
      <c r="AK968" s="64"/>
      <c r="AL968" s="64"/>
      <c r="AM968" s="62"/>
      <c r="AN968" s="62"/>
      <c r="AO968" s="62"/>
      <c r="AP968" s="62"/>
      <c r="AQ968" s="62"/>
      <c r="AR968" s="62"/>
      <c r="AS968" s="62"/>
      <c r="AT968" s="62"/>
      <c r="AU968" s="62"/>
      <c r="AV968" s="62"/>
      <c r="AW968" s="62"/>
    </row>
    <row r="969" ht="16.5" customHeight="1">
      <c r="A969" s="62"/>
      <c r="B969" s="62"/>
      <c r="C969" s="62"/>
      <c r="D969" s="62"/>
      <c r="E969" s="62"/>
      <c r="F969" s="63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4"/>
      <c r="AG969" s="64"/>
      <c r="AH969" s="64"/>
      <c r="AI969" s="64"/>
      <c r="AJ969" s="64"/>
      <c r="AK969" s="64"/>
      <c r="AL969" s="64"/>
      <c r="AM969" s="62"/>
      <c r="AN969" s="62"/>
      <c r="AO969" s="62"/>
      <c r="AP969" s="62"/>
      <c r="AQ969" s="62"/>
      <c r="AR969" s="62"/>
      <c r="AS969" s="62"/>
      <c r="AT969" s="62"/>
      <c r="AU969" s="62"/>
      <c r="AV969" s="62"/>
      <c r="AW969" s="62"/>
    </row>
    <row r="970" ht="16.5" customHeight="1">
      <c r="A970" s="62"/>
      <c r="B970" s="62"/>
      <c r="C970" s="62"/>
      <c r="D970" s="62"/>
      <c r="E970" s="62"/>
      <c r="F970" s="63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4"/>
      <c r="AG970" s="64"/>
      <c r="AH970" s="64"/>
      <c r="AI970" s="64"/>
      <c r="AJ970" s="64"/>
      <c r="AK970" s="64"/>
      <c r="AL970" s="64"/>
      <c r="AM970" s="62"/>
      <c r="AN970" s="62"/>
      <c r="AO970" s="62"/>
      <c r="AP970" s="62"/>
      <c r="AQ970" s="62"/>
      <c r="AR970" s="62"/>
      <c r="AS970" s="62"/>
      <c r="AT970" s="62"/>
      <c r="AU970" s="62"/>
      <c r="AV970" s="62"/>
      <c r="AW970" s="62"/>
    </row>
    <row r="971" ht="16.5" customHeight="1">
      <c r="A971" s="62"/>
      <c r="B971" s="62"/>
      <c r="C971" s="62"/>
      <c r="D971" s="62"/>
      <c r="E971" s="62"/>
      <c r="F971" s="63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4"/>
      <c r="AG971" s="64"/>
      <c r="AH971" s="64"/>
      <c r="AI971" s="64"/>
      <c r="AJ971" s="64"/>
      <c r="AK971" s="64"/>
      <c r="AL971" s="64"/>
      <c r="AM971" s="62"/>
      <c r="AN971" s="62"/>
      <c r="AO971" s="62"/>
      <c r="AP971" s="62"/>
      <c r="AQ971" s="62"/>
      <c r="AR971" s="62"/>
      <c r="AS971" s="62"/>
      <c r="AT971" s="62"/>
      <c r="AU971" s="62"/>
      <c r="AV971" s="62"/>
      <c r="AW971" s="62"/>
    </row>
    <row r="972" ht="16.5" customHeight="1">
      <c r="A972" s="62"/>
      <c r="B972" s="62"/>
      <c r="C972" s="62"/>
      <c r="D972" s="62"/>
      <c r="E972" s="62"/>
      <c r="F972" s="63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4"/>
      <c r="AG972" s="64"/>
      <c r="AH972" s="64"/>
      <c r="AI972" s="64"/>
      <c r="AJ972" s="64"/>
      <c r="AK972" s="64"/>
      <c r="AL972" s="64"/>
      <c r="AM972" s="62"/>
      <c r="AN972" s="62"/>
      <c r="AO972" s="62"/>
      <c r="AP972" s="62"/>
      <c r="AQ972" s="62"/>
      <c r="AR972" s="62"/>
      <c r="AS972" s="62"/>
      <c r="AT972" s="62"/>
      <c r="AU972" s="62"/>
      <c r="AV972" s="62"/>
      <c r="AW972" s="62"/>
    </row>
    <row r="973" ht="16.5" customHeight="1">
      <c r="A973" s="62"/>
      <c r="B973" s="62"/>
      <c r="C973" s="62"/>
      <c r="D973" s="62"/>
      <c r="E973" s="62"/>
      <c r="F973" s="63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4"/>
      <c r="AG973" s="64"/>
      <c r="AH973" s="64"/>
      <c r="AI973" s="64"/>
      <c r="AJ973" s="64"/>
      <c r="AK973" s="64"/>
      <c r="AL973" s="64"/>
      <c r="AM973" s="62"/>
      <c r="AN973" s="62"/>
      <c r="AO973" s="62"/>
      <c r="AP973" s="62"/>
      <c r="AQ973" s="62"/>
      <c r="AR973" s="62"/>
      <c r="AS973" s="62"/>
      <c r="AT973" s="62"/>
      <c r="AU973" s="62"/>
      <c r="AV973" s="62"/>
      <c r="AW973" s="62"/>
    </row>
    <row r="974" ht="16.5" customHeight="1">
      <c r="A974" s="62"/>
      <c r="B974" s="62"/>
      <c r="C974" s="62"/>
      <c r="D974" s="62"/>
      <c r="E974" s="62"/>
      <c r="F974" s="63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4"/>
      <c r="AG974" s="64"/>
      <c r="AH974" s="64"/>
      <c r="AI974" s="64"/>
      <c r="AJ974" s="64"/>
      <c r="AK974" s="64"/>
      <c r="AL974" s="64"/>
      <c r="AM974" s="62"/>
      <c r="AN974" s="62"/>
      <c r="AO974" s="62"/>
      <c r="AP974" s="62"/>
      <c r="AQ974" s="62"/>
      <c r="AR974" s="62"/>
      <c r="AS974" s="62"/>
      <c r="AT974" s="62"/>
      <c r="AU974" s="62"/>
      <c r="AV974" s="62"/>
      <c r="AW974" s="62"/>
    </row>
    <row r="975" ht="16.5" customHeight="1">
      <c r="A975" s="62"/>
      <c r="B975" s="62"/>
      <c r="C975" s="62"/>
      <c r="D975" s="62"/>
      <c r="E975" s="62"/>
      <c r="F975" s="63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4"/>
      <c r="AG975" s="64"/>
      <c r="AH975" s="64"/>
      <c r="AI975" s="64"/>
      <c r="AJ975" s="64"/>
      <c r="AK975" s="64"/>
      <c r="AL975" s="64"/>
      <c r="AM975" s="62"/>
      <c r="AN975" s="62"/>
      <c r="AO975" s="62"/>
      <c r="AP975" s="62"/>
      <c r="AQ975" s="62"/>
      <c r="AR975" s="62"/>
      <c r="AS975" s="62"/>
      <c r="AT975" s="62"/>
      <c r="AU975" s="62"/>
      <c r="AV975" s="62"/>
      <c r="AW975" s="62"/>
    </row>
    <row r="976" ht="16.5" customHeight="1">
      <c r="A976" s="62"/>
      <c r="B976" s="62"/>
      <c r="C976" s="62"/>
      <c r="D976" s="62"/>
      <c r="E976" s="62"/>
      <c r="F976" s="63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4"/>
      <c r="AG976" s="64"/>
      <c r="AH976" s="64"/>
      <c r="AI976" s="64"/>
      <c r="AJ976" s="64"/>
      <c r="AK976" s="64"/>
      <c r="AL976" s="64"/>
      <c r="AM976" s="62"/>
      <c r="AN976" s="62"/>
      <c r="AO976" s="62"/>
      <c r="AP976" s="62"/>
      <c r="AQ976" s="62"/>
      <c r="AR976" s="62"/>
      <c r="AS976" s="62"/>
      <c r="AT976" s="62"/>
      <c r="AU976" s="62"/>
      <c r="AV976" s="62"/>
      <c r="AW976" s="62"/>
    </row>
    <row r="977" ht="16.5" customHeight="1">
      <c r="A977" s="62"/>
      <c r="B977" s="62"/>
      <c r="C977" s="62"/>
      <c r="D977" s="62"/>
      <c r="E977" s="62"/>
      <c r="F977" s="63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4"/>
      <c r="AG977" s="64"/>
      <c r="AH977" s="64"/>
      <c r="AI977" s="64"/>
      <c r="AJ977" s="64"/>
      <c r="AK977" s="64"/>
      <c r="AL977" s="64"/>
      <c r="AM977" s="62"/>
      <c r="AN977" s="62"/>
      <c r="AO977" s="62"/>
      <c r="AP977" s="62"/>
      <c r="AQ977" s="62"/>
      <c r="AR977" s="62"/>
      <c r="AS977" s="62"/>
      <c r="AT977" s="62"/>
      <c r="AU977" s="62"/>
      <c r="AV977" s="62"/>
      <c r="AW977" s="62"/>
    </row>
    <row r="978" ht="16.5" customHeight="1">
      <c r="A978" s="62"/>
      <c r="B978" s="62"/>
      <c r="C978" s="62"/>
      <c r="D978" s="62"/>
      <c r="E978" s="62"/>
      <c r="F978" s="63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4"/>
      <c r="AG978" s="64"/>
      <c r="AH978" s="64"/>
      <c r="AI978" s="64"/>
      <c r="AJ978" s="64"/>
      <c r="AK978" s="64"/>
      <c r="AL978" s="64"/>
      <c r="AM978" s="62"/>
      <c r="AN978" s="62"/>
      <c r="AO978" s="62"/>
      <c r="AP978" s="62"/>
      <c r="AQ978" s="62"/>
      <c r="AR978" s="62"/>
      <c r="AS978" s="62"/>
      <c r="AT978" s="62"/>
      <c r="AU978" s="62"/>
      <c r="AV978" s="62"/>
      <c r="AW978" s="62"/>
    </row>
    <row r="979" ht="16.5" customHeight="1">
      <c r="A979" s="62"/>
      <c r="B979" s="62"/>
      <c r="C979" s="62"/>
      <c r="D979" s="62"/>
      <c r="E979" s="62"/>
      <c r="F979" s="63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4"/>
      <c r="AG979" s="64"/>
      <c r="AH979" s="64"/>
      <c r="AI979" s="64"/>
      <c r="AJ979" s="64"/>
      <c r="AK979" s="64"/>
      <c r="AL979" s="64"/>
      <c r="AM979" s="62"/>
      <c r="AN979" s="62"/>
      <c r="AO979" s="62"/>
      <c r="AP979" s="62"/>
      <c r="AQ979" s="62"/>
      <c r="AR979" s="62"/>
      <c r="AS979" s="62"/>
      <c r="AT979" s="62"/>
      <c r="AU979" s="62"/>
      <c r="AV979" s="62"/>
      <c r="AW979" s="62"/>
    </row>
    <row r="980" ht="16.5" customHeight="1">
      <c r="A980" s="62"/>
      <c r="B980" s="62"/>
      <c r="C980" s="62"/>
      <c r="D980" s="62"/>
      <c r="E980" s="62"/>
      <c r="F980" s="63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4"/>
      <c r="AG980" s="64"/>
      <c r="AH980" s="64"/>
      <c r="AI980" s="64"/>
      <c r="AJ980" s="64"/>
      <c r="AK980" s="64"/>
      <c r="AL980" s="64"/>
      <c r="AM980" s="62"/>
      <c r="AN980" s="62"/>
      <c r="AO980" s="62"/>
      <c r="AP980" s="62"/>
      <c r="AQ980" s="62"/>
      <c r="AR980" s="62"/>
      <c r="AS980" s="62"/>
      <c r="AT980" s="62"/>
      <c r="AU980" s="62"/>
      <c r="AV980" s="62"/>
      <c r="AW980" s="62"/>
    </row>
    <row r="981" ht="16.5" customHeight="1">
      <c r="A981" s="62"/>
      <c r="B981" s="62"/>
      <c r="C981" s="62"/>
      <c r="D981" s="62"/>
      <c r="E981" s="62"/>
      <c r="F981" s="63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4"/>
      <c r="AG981" s="64"/>
      <c r="AH981" s="64"/>
      <c r="AI981" s="64"/>
      <c r="AJ981" s="64"/>
      <c r="AK981" s="64"/>
      <c r="AL981" s="64"/>
      <c r="AM981" s="62"/>
      <c r="AN981" s="62"/>
      <c r="AO981" s="62"/>
      <c r="AP981" s="62"/>
      <c r="AQ981" s="62"/>
      <c r="AR981" s="62"/>
      <c r="AS981" s="62"/>
      <c r="AT981" s="62"/>
      <c r="AU981" s="62"/>
      <c r="AV981" s="62"/>
      <c r="AW981" s="62"/>
    </row>
    <row r="982" ht="16.5" customHeight="1">
      <c r="A982" s="62"/>
      <c r="B982" s="62"/>
      <c r="C982" s="62"/>
      <c r="D982" s="62"/>
      <c r="E982" s="62"/>
      <c r="F982" s="63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4"/>
      <c r="AG982" s="64"/>
      <c r="AH982" s="64"/>
      <c r="AI982" s="64"/>
      <c r="AJ982" s="64"/>
      <c r="AK982" s="64"/>
      <c r="AL982" s="64"/>
      <c r="AM982" s="62"/>
      <c r="AN982" s="62"/>
      <c r="AO982" s="62"/>
      <c r="AP982" s="62"/>
      <c r="AQ982" s="62"/>
      <c r="AR982" s="62"/>
      <c r="AS982" s="62"/>
      <c r="AT982" s="62"/>
      <c r="AU982" s="62"/>
      <c r="AV982" s="62"/>
      <c r="AW982" s="62"/>
    </row>
    <row r="983" ht="16.5" customHeight="1">
      <c r="A983" s="62"/>
      <c r="B983" s="62"/>
      <c r="C983" s="62"/>
      <c r="D983" s="62"/>
      <c r="E983" s="62"/>
      <c r="F983" s="63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4"/>
      <c r="AG983" s="64"/>
      <c r="AH983" s="64"/>
      <c r="AI983" s="64"/>
      <c r="AJ983" s="64"/>
      <c r="AK983" s="64"/>
      <c r="AL983" s="64"/>
      <c r="AM983" s="62"/>
      <c r="AN983" s="62"/>
      <c r="AO983" s="62"/>
      <c r="AP983" s="62"/>
      <c r="AQ983" s="62"/>
      <c r="AR983" s="62"/>
      <c r="AS983" s="62"/>
      <c r="AT983" s="62"/>
      <c r="AU983" s="62"/>
      <c r="AV983" s="62"/>
      <c r="AW983" s="62"/>
    </row>
    <row r="984" ht="16.5" customHeight="1">
      <c r="A984" s="62"/>
      <c r="B984" s="62"/>
      <c r="C984" s="62"/>
      <c r="D984" s="62"/>
      <c r="E984" s="62"/>
      <c r="F984" s="63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4"/>
      <c r="AG984" s="64"/>
      <c r="AH984" s="64"/>
      <c r="AI984" s="64"/>
      <c r="AJ984" s="64"/>
      <c r="AK984" s="64"/>
      <c r="AL984" s="64"/>
      <c r="AM984" s="62"/>
      <c r="AN984" s="62"/>
      <c r="AO984" s="62"/>
      <c r="AP984" s="62"/>
      <c r="AQ984" s="62"/>
      <c r="AR984" s="62"/>
      <c r="AS984" s="62"/>
      <c r="AT984" s="62"/>
      <c r="AU984" s="62"/>
      <c r="AV984" s="62"/>
      <c r="AW984" s="62"/>
    </row>
    <row r="985" ht="16.5" customHeight="1">
      <c r="A985" s="62"/>
      <c r="B985" s="62"/>
      <c r="C985" s="62"/>
      <c r="D985" s="62"/>
      <c r="E985" s="62"/>
      <c r="F985" s="63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4"/>
      <c r="AG985" s="64"/>
      <c r="AH985" s="64"/>
      <c r="AI985" s="64"/>
      <c r="AJ985" s="64"/>
      <c r="AK985" s="64"/>
      <c r="AL985" s="64"/>
      <c r="AM985" s="62"/>
      <c r="AN985" s="62"/>
      <c r="AO985" s="62"/>
      <c r="AP985" s="62"/>
      <c r="AQ985" s="62"/>
      <c r="AR985" s="62"/>
      <c r="AS985" s="62"/>
      <c r="AT985" s="62"/>
      <c r="AU985" s="62"/>
      <c r="AV985" s="62"/>
      <c r="AW985" s="62"/>
    </row>
    <row r="986" ht="16.5" customHeight="1">
      <c r="A986" s="62"/>
      <c r="B986" s="62"/>
      <c r="C986" s="62"/>
      <c r="D986" s="62"/>
      <c r="E986" s="62"/>
      <c r="F986" s="63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4"/>
      <c r="AG986" s="64"/>
      <c r="AH986" s="64"/>
      <c r="AI986" s="64"/>
      <c r="AJ986" s="64"/>
      <c r="AK986" s="64"/>
      <c r="AL986" s="64"/>
      <c r="AM986" s="62"/>
      <c r="AN986" s="62"/>
      <c r="AO986" s="62"/>
      <c r="AP986" s="62"/>
      <c r="AQ986" s="62"/>
      <c r="AR986" s="62"/>
      <c r="AS986" s="62"/>
      <c r="AT986" s="62"/>
      <c r="AU986" s="62"/>
      <c r="AV986" s="62"/>
      <c r="AW986" s="62"/>
    </row>
    <row r="987" ht="16.5" customHeight="1">
      <c r="A987" s="62"/>
      <c r="B987" s="62"/>
      <c r="C987" s="62"/>
      <c r="D987" s="62"/>
      <c r="E987" s="62"/>
      <c r="F987" s="63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4"/>
      <c r="AG987" s="64"/>
      <c r="AH987" s="64"/>
      <c r="AI987" s="64"/>
      <c r="AJ987" s="64"/>
      <c r="AK987" s="64"/>
      <c r="AL987" s="64"/>
      <c r="AM987" s="62"/>
      <c r="AN987" s="62"/>
      <c r="AO987" s="62"/>
      <c r="AP987" s="62"/>
      <c r="AQ987" s="62"/>
      <c r="AR987" s="62"/>
      <c r="AS987" s="62"/>
      <c r="AT987" s="62"/>
      <c r="AU987" s="62"/>
      <c r="AV987" s="62"/>
      <c r="AW987" s="62"/>
    </row>
    <row r="988" ht="16.5" customHeight="1">
      <c r="A988" s="62"/>
      <c r="B988" s="62"/>
      <c r="C988" s="62"/>
      <c r="D988" s="62"/>
      <c r="E988" s="62"/>
      <c r="F988" s="63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4"/>
      <c r="AG988" s="64"/>
      <c r="AH988" s="64"/>
      <c r="AI988" s="64"/>
      <c r="AJ988" s="64"/>
      <c r="AK988" s="64"/>
      <c r="AL988" s="64"/>
      <c r="AM988" s="62"/>
      <c r="AN988" s="62"/>
      <c r="AO988" s="62"/>
      <c r="AP988" s="62"/>
      <c r="AQ988" s="62"/>
      <c r="AR988" s="62"/>
      <c r="AS988" s="62"/>
      <c r="AT988" s="62"/>
      <c r="AU988" s="62"/>
      <c r="AV988" s="62"/>
      <c r="AW988" s="62"/>
    </row>
    <row r="989" ht="16.5" customHeight="1">
      <c r="A989" s="62"/>
      <c r="B989" s="62"/>
      <c r="C989" s="62"/>
      <c r="D989" s="62"/>
      <c r="E989" s="62"/>
      <c r="F989" s="63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4"/>
      <c r="AG989" s="64"/>
      <c r="AH989" s="64"/>
      <c r="AI989" s="64"/>
      <c r="AJ989" s="64"/>
      <c r="AK989" s="64"/>
      <c r="AL989" s="64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</row>
    <row r="990" ht="16.5" customHeight="1">
      <c r="A990" s="62"/>
      <c r="B990" s="62"/>
      <c r="C990" s="62"/>
      <c r="D990" s="62"/>
      <c r="E990" s="62"/>
      <c r="F990" s="63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4"/>
      <c r="AG990" s="64"/>
      <c r="AH990" s="64"/>
      <c r="AI990" s="64"/>
      <c r="AJ990" s="64"/>
      <c r="AK990" s="64"/>
      <c r="AL990" s="64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</row>
    <row r="991" ht="16.5" customHeight="1">
      <c r="A991" s="62"/>
      <c r="B991" s="62"/>
      <c r="C991" s="62"/>
      <c r="D991" s="62"/>
      <c r="E991" s="62"/>
      <c r="F991" s="63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4"/>
      <c r="AG991" s="64"/>
      <c r="AH991" s="64"/>
      <c r="AI991" s="64"/>
      <c r="AJ991" s="64"/>
      <c r="AK991" s="64"/>
      <c r="AL991" s="64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</row>
    <row r="992" ht="16.5" customHeight="1">
      <c r="A992" s="62"/>
      <c r="B992" s="62"/>
      <c r="C992" s="62"/>
      <c r="D992" s="62"/>
      <c r="E992" s="62"/>
      <c r="F992" s="63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4"/>
      <c r="AG992" s="64"/>
      <c r="AH992" s="64"/>
      <c r="AI992" s="64"/>
      <c r="AJ992" s="64"/>
      <c r="AK992" s="64"/>
      <c r="AL992" s="64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</row>
    <row r="993" ht="16.5" customHeight="1">
      <c r="A993" s="62"/>
      <c r="B993" s="62"/>
      <c r="C993" s="62"/>
      <c r="D993" s="62"/>
      <c r="E993" s="62"/>
      <c r="F993" s="63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4"/>
      <c r="AG993" s="64"/>
      <c r="AH993" s="64"/>
      <c r="AI993" s="64"/>
      <c r="AJ993" s="64"/>
      <c r="AK993" s="64"/>
      <c r="AL993" s="64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</row>
    <row r="994" ht="16.5" customHeight="1">
      <c r="A994" s="62"/>
      <c r="B994" s="62"/>
      <c r="C994" s="62"/>
      <c r="D994" s="62"/>
      <c r="E994" s="62"/>
      <c r="F994" s="63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4"/>
      <c r="AG994" s="64"/>
      <c r="AH994" s="64"/>
      <c r="AI994" s="64"/>
      <c r="AJ994" s="64"/>
      <c r="AK994" s="64"/>
      <c r="AL994" s="64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</row>
    <row r="995" ht="16.5" customHeight="1">
      <c r="A995" s="62"/>
      <c r="B995" s="62"/>
      <c r="C995" s="62"/>
      <c r="D995" s="62"/>
      <c r="E995" s="62"/>
      <c r="F995" s="63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4"/>
      <c r="AG995" s="64"/>
      <c r="AH995" s="64"/>
      <c r="AI995" s="64"/>
      <c r="AJ995" s="64"/>
      <c r="AK995" s="64"/>
      <c r="AL995" s="64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</row>
    <row r="996" ht="16.5" customHeight="1">
      <c r="A996" s="62"/>
      <c r="B996" s="62"/>
      <c r="C996" s="62"/>
      <c r="D996" s="62"/>
      <c r="E996" s="62"/>
      <c r="F996" s="63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4"/>
      <c r="AG996" s="64"/>
      <c r="AH996" s="64"/>
      <c r="AI996" s="64"/>
      <c r="AJ996" s="64"/>
      <c r="AK996" s="64"/>
      <c r="AL996" s="64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</row>
  </sheetData>
  <conditionalFormatting sqref="N1:N16 N19:N996">
    <cfRule type="cellIs" dxfId="1" priority="1" operator="greaterThan">
      <formula>13</formula>
    </cfRule>
  </conditionalFormatting>
  <conditionalFormatting sqref="N18">
    <cfRule type="cellIs" dxfId="1" priority="2" operator="greaterThan">
      <formula>13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