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AC CONDUCTOR" sheetId="1" r:id="rId5"/>
    <sheet state="visible" name="AERIAL BUNCHED CABLE" sheetId="2" r:id="rId6"/>
    <sheet state="visible" name="ACSR CONDUCTOR" sheetId="3" r:id="rId7"/>
  </sheets>
  <definedNames/>
  <calcPr/>
</workbook>
</file>

<file path=xl/sharedStrings.xml><?xml version="1.0" encoding="utf-8"?>
<sst xmlns="http://schemas.openxmlformats.org/spreadsheetml/2006/main" count="245" uniqueCount="126">
  <si>
    <t>NAME</t>
  </si>
  <si>
    <t>Nominal Area</t>
  </si>
  <si>
    <t>No of Strands</t>
  </si>
  <si>
    <t>Diameter</t>
  </si>
  <si>
    <t>Aluminium Weight</t>
  </si>
  <si>
    <t>ALUMINIUM CG GRADE</t>
  </si>
  <si>
    <t>ALUMINIUM ALLOY GRADE T4</t>
  </si>
  <si>
    <t>Cost of Conductor (Aluminium) Per Mtr</t>
  </si>
  <si>
    <t>Cost of Conductor (Alloy) Per Mtr</t>
  </si>
  <si>
    <t>Cost of Conductor (Aluminium) Per KG</t>
  </si>
  <si>
    <t>Cost of Conductor (Alloy) Per KG</t>
  </si>
  <si>
    <t>Mole</t>
  </si>
  <si>
    <t>Squirrel</t>
  </si>
  <si>
    <t>Weasel</t>
  </si>
  <si>
    <t>Rabbit</t>
  </si>
  <si>
    <t>Raccoon</t>
  </si>
  <si>
    <t>Dog</t>
  </si>
  <si>
    <t>Dog(up)</t>
  </si>
  <si>
    <t>Coyote</t>
  </si>
  <si>
    <t>Wolf</t>
  </si>
  <si>
    <t>Wolf(up)</t>
  </si>
  <si>
    <t>Panther</t>
  </si>
  <si>
    <t>Panther (up)</t>
  </si>
  <si>
    <t>Kundah</t>
  </si>
  <si>
    <t>Zebra</t>
  </si>
  <si>
    <t>Zebra (up)</t>
  </si>
  <si>
    <t>Moose</t>
  </si>
  <si>
    <t>Custom</t>
  </si>
  <si>
    <t>SIZE</t>
  </si>
  <si>
    <t>TYPE</t>
  </si>
  <si>
    <t>PHASE SIZE</t>
  </si>
  <si>
    <t>STL SIZE</t>
  </si>
  <si>
    <t>MESSENGER SIZE</t>
  </si>
  <si>
    <t>INSULATION THICKNESS (PHASE)</t>
  </si>
  <si>
    <t>INSULATION THICKNESS (STL)</t>
  </si>
  <si>
    <t>INSULATION THICKNESS (MESSENGER)</t>
  </si>
  <si>
    <t>OD (PHASE)</t>
  </si>
  <si>
    <t>WEIGHT  ALUMINIUM (PER KM)</t>
  </si>
  <si>
    <t>WEIGHT  ALLOY (PER KM)</t>
  </si>
  <si>
    <t>WEIGHT INSULATION (PER KM)</t>
  </si>
  <si>
    <t>TOTAL WEIGHT (PER KM)</t>
  </si>
  <si>
    <t>ALUMINIUM ALLOY GRADE</t>
  </si>
  <si>
    <t>ALUMINIUM ECR GRADE</t>
  </si>
  <si>
    <t>XLPE</t>
  </si>
  <si>
    <t>LD</t>
  </si>
  <si>
    <t>COST</t>
  </si>
  <si>
    <t>PROFIT</t>
  </si>
  <si>
    <t>FINAL RATE</t>
  </si>
  <si>
    <t>3CX16+16 SQ MM</t>
  </si>
  <si>
    <t>ISI</t>
  </si>
  <si>
    <t>COMM-1</t>
  </si>
  <si>
    <t>NA</t>
  </si>
  <si>
    <t>COMM-2</t>
  </si>
  <si>
    <t>COMM-3</t>
  </si>
  <si>
    <t>3CX16+25 SQ MM</t>
  </si>
  <si>
    <t>3CX25+16 SQ MM</t>
  </si>
  <si>
    <t>2CX25+16 SQ MM</t>
  </si>
  <si>
    <t>3CX25+25 SQ MM</t>
  </si>
  <si>
    <t>3CX25+16+25 SQ MM</t>
  </si>
  <si>
    <t>3CX35+25 SQ MM</t>
  </si>
  <si>
    <t>3CX35+16+25 SQ MM</t>
  </si>
  <si>
    <t>3CX50+35 SQ MM</t>
  </si>
  <si>
    <t>3CX50+16+35 SQ MM</t>
  </si>
  <si>
    <t>3CX70+50 SQ MM</t>
  </si>
  <si>
    <t>3CX70+16+50 SQ MM</t>
  </si>
  <si>
    <t>3CX95+50 SQ MM</t>
  </si>
  <si>
    <t>3CX95+16+50 SQ MM</t>
  </si>
  <si>
    <t>3CX95+70 SQ MM</t>
  </si>
  <si>
    <t>3CX95+16+70 SQ MM</t>
  </si>
  <si>
    <t>3CX120+16+70 SQ MM</t>
  </si>
  <si>
    <t>SIZE SPECS</t>
  </si>
  <si>
    <t>NO OF WIRES (ALUMINIUM)</t>
  </si>
  <si>
    <t>NO OF WIRES (STEEL)</t>
  </si>
  <si>
    <t>SIZE ALUMINIUM</t>
  </si>
  <si>
    <t>SIZE STEEL</t>
  </si>
  <si>
    <t>WEIGHT  ALUMINIUM</t>
  </si>
  <si>
    <t>WEIGHT STEEL</t>
  </si>
  <si>
    <t>TOTAL WEIGHT</t>
  </si>
  <si>
    <t>ALUMINIUM EC GRADE</t>
  </si>
  <si>
    <t>STEEL RATE</t>
  </si>
  <si>
    <t>Cost of Conductor (ISI) Per Mtr</t>
  </si>
  <si>
    <t>Cost of Conductor (Commercial) Per Mtr</t>
  </si>
  <si>
    <t>Cost of Conductor (ISI) Per KG</t>
  </si>
  <si>
    <t>Cost of Conductor (Commercial) Per KG</t>
  </si>
  <si>
    <t>ALUMINIUM</t>
  </si>
  <si>
    <t>STEEL</t>
  </si>
  <si>
    <t>MOLE</t>
  </si>
  <si>
    <t>6/1.50</t>
  </si>
  <si>
    <t>1/1.50</t>
  </si>
  <si>
    <t>SPECIAL</t>
  </si>
  <si>
    <t>6/1.96</t>
  </si>
  <si>
    <t>1/1.96</t>
  </si>
  <si>
    <t>SQIRREL</t>
  </si>
  <si>
    <t>WEASEL</t>
  </si>
  <si>
    <t>6/2.59</t>
  </si>
  <si>
    <t>1/2.59</t>
  </si>
  <si>
    <t>RABBIT</t>
  </si>
  <si>
    <t>6/3.35</t>
  </si>
  <si>
    <t>1/3.35</t>
  </si>
  <si>
    <t>RACCOON</t>
  </si>
  <si>
    <t>6/4.09</t>
  </si>
  <si>
    <t>1/4.09</t>
  </si>
  <si>
    <t>DOG</t>
  </si>
  <si>
    <t>6/4.72</t>
  </si>
  <si>
    <t>7/1.57</t>
  </si>
  <si>
    <t>WOLF</t>
  </si>
  <si>
    <t>30/2.59</t>
  </si>
  <si>
    <t>7/2.59</t>
  </si>
  <si>
    <t>PANTHER</t>
  </si>
  <si>
    <t>30/3.00</t>
  </si>
  <si>
    <t>7/3.00</t>
  </si>
  <si>
    <t>KUNDAH</t>
  </si>
  <si>
    <t>42/3.50</t>
  </si>
  <si>
    <t>7/1.96</t>
  </si>
  <si>
    <t>ZEBRA</t>
  </si>
  <si>
    <t>54/3.18</t>
  </si>
  <si>
    <t>7/3.18</t>
  </si>
  <si>
    <t>MOOSE</t>
  </si>
  <si>
    <t>54/3.53</t>
  </si>
  <si>
    <t>7/3.53</t>
  </si>
  <si>
    <t>BERSIMIS</t>
  </si>
  <si>
    <t>42/4.57</t>
  </si>
  <si>
    <t>7/2.54</t>
  </si>
  <si>
    <t>CUSTOM</t>
  </si>
  <si>
    <t>0.00/0.00</t>
  </si>
  <si>
    <t>0/0.00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</si>
</sst>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theme="1"/>
      <name val="SeOGE UI"/>
    </font>
    <font>
      <b/>
      <sz val="12.0"/>
      <color theme="1"/>
      <name val="SeOGE UI"/>
    </font>
    <font>
      <b/>
      <sz val="12.0"/>
      <color theme="1"/>
      <name val="Arial"/>
    </font>
    <font>
      <sz val="14.0"/>
      <color rgb="FF1F2937"/>
      <name val="SeOGE UI"/>
    </font>
    <font>
      <sz val="14.0"/>
      <color rgb="FF1F2937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Aptos Narrow"/>
      <scheme val="minor"/>
    </font>
    <font>
      <color theme="1"/>
      <name val="Arial"/>
    </font>
    <font>
      <color rgb="FF1F2937"/>
      <name val="Arial"/>
    </font>
    <font>
      <color theme="1"/>
      <name val="Aptos Narrow"/>
      <scheme val="minor"/>
    </font>
    <font/>
    <font>
      <sz val="11.0"/>
      <color theme="1"/>
      <name val="Arial"/>
    </font>
    <font>
      <color rgb="FF1F2937"/>
      <name val="Inte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BDBDBD"/>
        <bgColor rgb="FFBDBDB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374151"/>
        <bgColor rgb="FF37415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2" fontId="4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vertical="center"/>
    </xf>
    <xf borderId="1" fillId="3" fontId="4" numFmtId="2" xfId="0" applyAlignment="1" applyBorder="1" applyFont="1" applyNumberFormat="1">
      <alignment shrinkToFit="0" vertical="center" wrapText="1"/>
    </xf>
    <xf borderId="1" fillId="4" fontId="5" numFmtId="2" xfId="0" applyAlignment="1" applyBorder="1" applyFill="1" applyFont="1" applyNumberFormat="1">
      <alignment readingOrder="0" shrinkToFit="0" vertical="center" wrapText="1"/>
    </xf>
    <xf borderId="1" fillId="3" fontId="4" numFmtId="2" xfId="0" applyAlignment="1" applyBorder="1" applyFont="1" applyNumberFormat="1">
      <alignment vertical="center"/>
    </xf>
    <xf borderId="1" fillId="4" fontId="4" numFmtId="2" xfId="0" applyAlignment="1" applyBorder="1" applyFont="1" applyNumberFormat="1">
      <alignment shrinkToFit="0" vertical="center" wrapText="1"/>
    </xf>
    <xf borderId="1" fillId="5" fontId="5" numFmtId="2" xfId="0" applyAlignment="1" applyBorder="1" applyFill="1" applyFont="1" applyNumberFormat="1">
      <alignment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6" numFmtId="2" xfId="0" applyAlignment="1" applyBorder="1" applyFont="1" applyNumberFormat="1">
      <alignment horizontal="center" readingOrder="0" shrinkToFit="0" vertical="center" wrapText="1"/>
    </xf>
    <xf borderId="1" fillId="7" fontId="6" numFmtId="2" xfId="0" applyAlignment="1" applyBorder="1" applyFill="1" applyFont="1" applyNumberFormat="1">
      <alignment horizontal="center" readingOrder="0" shrinkToFit="0" vertical="center" wrapText="1"/>
    </xf>
    <xf borderId="1" fillId="8" fontId="6" numFmtId="2" xfId="0" applyAlignment="1" applyBorder="1" applyFill="1" applyFont="1" applyNumberFormat="1">
      <alignment horizontal="center" readingOrder="0" vertical="center"/>
    </xf>
    <xf borderId="1" fillId="8" fontId="6" numFmtId="2" xfId="0" applyAlignment="1" applyBorder="1" applyFont="1" applyNumberFormat="1">
      <alignment horizontal="center" readingOrder="0" shrinkToFit="0" vertical="center" wrapText="1"/>
    </xf>
    <xf borderId="1" fillId="9" fontId="7" numFmtId="2" xfId="0" applyAlignment="1" applyBorder="1" applyFill="1" applyFont="1" applyNumberFormat="1">
      <alignment horizontal="center" readingOrder="0" shrinkToFit="0" vertical="center" wrapText="1"/>
    </xf>
    <xf borderId="1" fillId="9" fontId="7" numFmtId="2" xfId="0" applyAlignment="1" applyBorder="1" applyFont="1" applyNumberFormat="1">
      <alignment horizontal="center" readingOrder="0" vertical="center"/>
    </xf>
    <xf borderId="0" fillId="8" fontId="6" numFmtId="0" xfId="0" applyAlignment="1" applyFont="1">
      <alignment readingOrder="0"/>
    </xf>
    <xf borderId="0" fillId="0" fontId="8" numFmtId="0" xfId="0" applyFont="1"/>
    <xf borderId="2" fillId="2" fontId="9" numFmtId="0" xfId="0" applyAlignment="1" applyBorder="1" applyFont="1">
      <alignment horizontal="center" readingOrder="0" vertical="center"/>
    </xf>
    <xf borderId="1" fillId="2" fontId="9" numFmtId="2" xfId="0" applyAlignment="1" applyBorder="1" applyFont="1" applyNumberFormat="1">
      <alignment horizontal="center" readingOrder="0" vertical="center"/>
    </xf>
    <xf borderId="1" fillId="10" fontId="9" numFmtId="2" xfId="0" applyAlignment="1" applyBorder="1" applyFill="1" applyFont="1" applyNumberFormat="1">
      <alignment horizontal="center" readingOrder="0" vertical="center"/>
    </xf>
    <xf borderId="1" fillId="0" fontId="9" numFmtId="2" xfId="0" applyAlignment="1" applyBorder="1" applyFont="1" applyNumberFormat="1">
      <alignment horizontal="center" vertical="center"/>
    </xf>
    <xf borderId="1" fillId="11" fontId="9" numFmtId="2" xfId="0" applyAlignment="1" applyBorder="1" applyFill="1" applyFont="1" applyNumberFormat="1">
      <alignment horizontal="center" readingOrder="0" shrinkToFit="0" vertical="center" wrapText="1"/>
    </xf>
    <xf borderId="1" fillId="9" fontId="10" numFmtId="2" xfId="0" applyAlignment="1" applyBorder="1" applyFont="1" applyNumberFormat="1">
      <alignment horizontal="center" readingOrder="0" shrinkToFit="0" vertical="center" wrapText="0"/>
    </xf>
    <xf borderId="1" fillId="9" fontId="9" numFmtId="2" xfId="0" applyAlignment="1" applyBorder="1" applyFont="1" applyNumberFormat="1">
      <alignment horizontal="center" readingOrder="0" vertical="center"/>
    </xf>
    <xf borderId="0" fillId="0" fontId="11" numFmtId="2" xfId="0" applyFont="1" applyNumberFormat="1"/>
    <xf borderId="3" fillId="12" fontId="12" numFmtId="0" xfId="0" applyBorder="1" applyFill="1" applyFont="1"/>
    <xf borderId="1" fillId="12" fontId="9" numFmtId="2" xfId="0" applyAlignment="1" applyBorder="1" applyFont="1" applyNumberFormat="1">
      <alignment horizontal="center" readingOrder="0" vertical="center"/>
    </xf>
    <xf borderId="3" fillId="2" fontId="12" numFmtId="0" xfId="0" applyBorder="1" applyFont="1"/>
    <xf borderId="4" fillId="12" fontId="12" numFmtId="0" xfId="0" applyBorder="1" applyFont="1"/>
    <xf borderId="1" fillId="13" fontId="9" numFmtId="2" xfId="0" applyAlignment="1" applyBorder="1" applyFill="1" applyFont="1" applyNumberFormat="1">
      <alignment horizontal="center" vertical="center"/>
    </xf>
    <xf borderId="1" fillId="13" fontId="9" numFmtId="2" xfId="0" applyAlignment="1" applyBorder="1" applyFont="1" applyNumberFormat="1">
      <alignment horizontal="center" readingOrder="0" shrinkToFit="0" vertical="center" wrapText="1"/>
    </xf>
    <xf borderId="1" fillId="14" fontId="9" numFmtId="2" xfId="0" applyAlignment="1" applyBorder="1" applyFill="1" applyFont="1" applyNumberFormat="1">
      <alignment horizontal="center" readingOrder="0" shrinkToFit="0" vertical="center" wrapText="1"/>
    </xf>
    <xf borderId="1" fillId="14" fontId="9" numFmtId="2" xfId="0" applyAlignment="1" applyBorder="1" applyFont="1" applyNumberFormat="1">
      <alignment horizontal="center" vertical="center"/>
    </xf>
    <xf borderId="1" fillId="14" fontId="13" numFmtId="2" xfId="0" applyAlignment="1" applyBorder="1" applyFont="1" applyNumberFormat="1">
      <alignment horizontal="center" readingOrder="0" shrinkToFit="0" vertical="center" wrapText="1"/>
    </xf>
    <xf borderId="0" fillId="0" fontId="11" numFmtId="2" xfId="0" applyAlignment="1" applyFont="1" applyNumberFormat="1">
      <alignment horizontal="center"/>
    </xf>
    <xf borderId="0" fillId="8" fontId="9" numFmtId="0" xfId="0" applyAlignment="1" applyFont="1">
      <alignment horizontal="center" readingOrder="0" shrinkToFit="0" vertical="center" wrapText="1"/>
    </xf>
    <xf borderId="0" fillId="8" fontId="9" numFmtId="0" xfId="0" applyAlignment="1" applyFont="1">
      <alignment horizontal="center" readingOrder="0" shrinkToFit="0" wrapText="1"/>
    </xf>
    <xf borderId="2" fillId="9" fontId="3" numFmtId="0" xfId="0" applyAlignment="1" applyBorder="1" applyFont="1">
      <alignment readingOrder="0" shrinkToFit="0" wrapText="1"/>
    </xf>
    <xf borderId="2" fillId="8" fontId="3" numFmtId="0" xfId="0" applyAlignment="1" applyBorder="1" applyFont="1">
      <alignment readingOrder="0" shrinkToFit="0" wrapText="1"/>
    </xf>
    <xf borderId="4" fillId="0" fontId="12" numFmtId="0" xfId="0" applyBorder="1" applyFont="1"/>
    <xf borderId="5" fillId="8" fontId="14" numFmtId="0" xfId="0" applyAlignment="1" applyBorder="1" applyFont="1">
      <alignment horizontal="center" readingOrder="0" shrinkToFit="0" wrapText="0"/>
    </xf>
    <xf borderId="0" fillId="8" fontId="9" numFmtId="0" xfId="0" applyAlignment="1" applyFont="1">
      <alignment horizontal="center" readingOrder="0"/>
    </xf>
    <xf borderId="5" fillId="8" fontId="14" numFmtId="2" xfId="0" applyAlignment="1" applyBorder="1" applyFont="1" applyNumberFormat="1">
      <alignment horizontal="center" readingOrder="0" shrinkToFit="0" wrapText="0"/>
    </xf>
    <xf borderId="5" fillId="9" fontId="14" numFmtId="2" xfId="0" applyAlignment="1" applyBorder="1" applyFont="1" applyNumberFormat="1">
      <alignment horizontal="center" readingOrder="0" shrinkToFit="0" wrapText="0"/>
    </xf>
    <xf borderId="0" fillId="8" fontId="9" numFmtId="2" xfId="0" applyAlignment="1" applyFont="1" applyNumberFormat="1">
      <alignment readingOrder="0"/>
    </xf>
    <xf borderId="0" fillId="8" fontId="11" numFmtId="2" xfId="0" applyFont="1" applyNumberFormat="1"/>
    <xf borderId="0" fillId="8" fontId="9" numFmtId="0" xfId="0" applyAlignment="1" applyFont="1">
      <alignment readingOrder="0"/>
    </xf>
    <xf borderId="0" fillId="15" fontId="9" numFmtId="0" xfId="0" applyAlignment="1" applyFill="1" applyFont="1">
      <alignment readingOrder="0"/>
    </xf>
    <xf borderId="0" fillId="15" fontId="9" numFmtId="2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3.25"/>
    <col customWidth="1" min="3" max="3" width="12.88"/>
    <col customWidth="1" min="4" max="4" width="13.63"/>
    <col customWidth="1" min="5" max="5" width="16.75"/>
    <col customWidth="1" min="6" max="6" width="13.63"/>
    <col customWidth="1" min="7" max="7" width="15.25"/>
    <col customWidth="1" min="8" max="9" width="15.38"/>
    <col customWidth="1" min="10" max="10" width="12.63"/>
    <col customWidth="1" min="11" max="11" width="14.25"/>
    <col customWidth="1" min="12" max="26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 t="s">
        <v>11</v>
      </c>
      <c r="B3" s="6">
        <v>15.0</v>
      </c>
      <c r="C3" s="7">
        <v>3.0</v>
      </c>
      <c r="D3" s="8">
        <v>2.5</v>
      </c>
      <c r="E3" s="8">
        <f t="shared" ref="E3:E20" si="2">D3*D3*0.785*C3*1.02*2.703</f>
        <v>40.58047688</v>
      </c>
      <c r="F3" s="9">
        <v>320.0</v>
      </c>
      <c r="G3" s="9">
        <v>340.0</v>
      </c>
      <c r="H3" s="8">
        <f t="shared" ref="H3:H20" si="3">(F3*E3*1.1)/1000</f>
        <v>14.28432786</v>
      </c>
      <c r="I3" s="10">
        <f t="shared" ref="I3:I20" si="4">(G3*E3*1.1)/1000</f>
        <v>15.17709835</v>
      </c>
      <c r="J3" s="8">
        <f t="shared" ref="J3:K3" si="1">F3*1.1</f>
        <v>352</v>
      </c>
      <c r="K3" s="8">
        <f t="shared" si="1"/>
        <v>374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" t="s">
        <v>12</v>
      </c>
      <c r="B4" s="6">
        <v>20.0</v>
      </c>
      <c r="C4" s="7">
        <v>7.0</v>
      </c>
      <c r="D4" s="8">
        <v>2.0</v>
      </c>
      <c r="E4" s="8">
        <f t="shared" si="2"/>
        <v>60.6001788</v>
      </c>
      <c r="F4" s="11">
        <v>296.0</v>
      </c>
      <c r="G4" s="11">
        <v>340.0</v>
      </c>
      <c r="H4" s="8">
        <f t="shared" si="3"/>
        <v>19.73141822</v>
      </c>
      <c r="I4" s="10">
        <f t="shared" si="4"/>
        <v>22.66446687</v>
      </c>
      <c r="J4" s="8">
        <f t="shared" ref="J4:K4" si="5">F4*1.1</f>
        <v>325.6</v>
      </c>
      <c r="K4" s="8">
        <f t="shared" si="5"/>
        <v>374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" t="s">
        <v>13</v>
      </c>
      <c r="B5" s="6">
        <v>34.0</v>
      </c>
      <c r="C5" s="7">
        <v>7.0</v>
      </c>
      <c r="D5" s="8">
        <v>2.5</v>
      </c>
      <c r="E5" s="8">
        <f t="shared" si="2"/>
        <v>94.68777938</v>
      </c>
      <c r="F5" s="11">
        <v>296.0</v>
      </c>
      <c r="G5" s="11">
        <v>340.0</v>
      </c>
      <c r="H5" s="8">
        <f t="shared" si="3"/>
        <v>30.83034096</v>
      </c>
      <c r="I5" s="10">
        <f t="shared" si="4"/>
        <v>35.41322949</v>
      </c>
      <c r="J5" s="8">
        <f t="shared" ref="J5:K5" si="6">F5*1.1</f>
        <v>325.6</v>
      </c>
      <c r="K5" s="8">
        <f t="shared" si="6"/>
        <v>374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" t="s">
        <v>14</v>
      </c>
      <c r="B6" s="6">
        <v>55.0</v>
      </c>
      <c r="C6" s="7">
        <v>7.0</v>
      </c>
      <c r="D6" s="8">
        <v>3.15</v>
      </c>
      <c r="E6" s="8">
        <f t="shared" si="2"/>
        <v>150.3263185</v>
      </c>
      <c r="F6" s="11">
        <v>296.0</v>
      </c>
      <c r="G6" s="11">
        <v>340.0</v>
      </c>
      <c r="H6" s="8">
        <f t="shared" si="3"/>
        <v>48.94624932</v>
      </c>
      <c r="I6" s="10">
        <f t="shared" si="4"/>
        <v>56.22204313</v>
      </c>
      <c r="J6" s="8">
        <f t="shared" ref="J6:K6" si="7">F6*1.1</f>
        <v>325.6</v>
      </c>
      <c r="K6" s="8">
        <f t="shared" si="7"/>
        <v>374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" t="s">
        <v>15</v>
      </c>
      <c r="B7" s="6">
        <v>80.0</v>
      </c>
      <c r="C7" s="7">
        <v>7.0</v>
      </c>
      <c r="D7" s="8">
        <v>3.81</v>
      </c>
      <c r="E7" s="8">
        <f t="shared" si="2"/>
        <v>219.9195639</v>
      </c>
      <c r="F7" s="11">
        <v>296.0</v>
      </c>
      <c r="G7" s="11">
        <v>340.0</v>
      </c>
      <c r="H7" s="8">
        <f t="shared" si="3"/>
        <v>71.60581</v>
      </c>
      <c r="I7" s="10">
        <f t="shared" si="4"/>
        <v>82.24991689</v>
      </c>
      <c r="J7" s="8">
        <f t="shared" ref="J7:K7" si="8">F7*1.1</f>
        <v>325.6</v>
      </c>
      <c r="K7" s="8">
        <f t="shared" si="8"/>
        <v>374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" t="s">
        <v>16</v>
      </c>
      <c r="B8" s="6">
        <v>100.0</v>
      </c>
      <c r="C8" s="7">
        <v>7.0</v>
      </c>
      <c r="D8" s="8">
        <v>4.26</v>
      </c>
      <c r="E8" s="8">
        <f t="shared" si="2"/>
        <v>274.9369512</v>
      </c>
      <c r="F8" s="11">
        <v>296.0</v>
      </c>
      <c r="G8" s="11">
        <v>340.0</v>
      </c>
      <c r="H8" s="8">
        <f t="shared" si="3"/>
        <v>89.51947131</v>
      </c>
      <c r="I8" s="10">
        <f t="shared" si="4"/>
        <v>102.8264197</v>
      </c>
      <c r="J8" s="8">
        <f t="shared" ref="J8:K8" si="9">F8*1.1</f>
        <v>325.6</v>
      </c>
      <c r="K8" s="8">
        <f t="shared" si="9"/>
        <v>374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 t="s">
        <v>17</v>
      </c>
      <c r="B9" s="6">
        <v>125.0</v>
      </c>
      <c r="C9" s="7">
        <v>19.0</v>
      </c>
      <c r="D9" s="8">
        <v>2.89</v>
      </c>
      <c r="E9" s="8">
        <f t="shared" si="2"/>
        <v>343.4512969</v>
      </c>
      <c r="F9" s="11">
        <v>296.0</v>
      </c>
      <c r="G9" s="11">
        <v>340.0</v>
      </c>
      <c r="H9" s="8">
        <f t="shared" si="3"/>
        <v>111.8277423</v>
      </c>
      <c r="I9" s="10">
        <f t="shared" si="4"/>
        <v>128.450785</v>
      </c>
      <c r="J9" s="8">
        <f t="shared" ref="J9:K9" si="10">F9*1.1</f>
        <v>325.6</v>
      </c>
      <c r="K9" s="8">
        <f t="shared" si="10"/>
        <v>374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" t="s">
        <v>18</v>
      </c>
      <c r="B10" s="6">
        <v>150.0</v>
      </c>
      <c r="C10" s="7">
        <v>19.0</v>
      </c>
      <c r="D10" s="8">
        <v>3.15</v>
      </c>
      <c r="E10" s="8">
        <f t="shared" si="2"/>
        <v>408.0285789</v>
      </c>
      <c r="F10" s="11">
        <v>296.0</v>
      </c>
      <c r="G10" s="11">
        <v>340.0</v>
      </c>
      <c r="H10" s="8">
        <f t="shared" si="3"/>
        <v>132.8541053</v>
      </c>
      <c r="I10" s="10">
        <f t="shared" si="4"/>
        <v>152.6026885</v>
      </c>
      <c r="J10" s="8">
        <f t="shared" ref="J10:K10" si="11">F10*1.1</f>
        <v>325.6</v>
      </c>
      <c r="K10" s="8">
        <f t="shared" si="11"/>
        <v>374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5" t="s">
        <v>19</v>
      </c>
      <c r="B11" s="6">
        <v>175.0</v>
      </c>
      <c r="C11" s="7">
        <v>19.0</v>
      </c>
      <c r="D11" s="8">
        <v>3.4</v>
      </c>
      <c r="E11" s="8">
        <f t="shared" si="2"/>
        <v>475.3651168</v>
      </c>
      <c r="F11" s="11">
        <v>296.0</v>
      </c>
      <c r="G11" s="11">
        <v>340.0</v>
      </c>
      <c r="H11" s="8">
        <f t="shared" si="3"/>
        <v>154.778882</v>
      </c>
      <c r="I11" s="10">
        <f t="shared" si="4"/>
        <v>177.7865537</v>
      </c>
      <c r="J11" s="8">
        <f t="shared" ref="J11:K11" si="12">F11*1.1</f>
        <v>325.6</v>
      </c>
      <c r="K11" s="8">
        <f t="shared" si="12"/>
        <v>374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" t="s">
        <v>20</v>
      </c>
      <c r="B12" s="6">
        <v>200.0</v>
      </c>
      <c r="C12" s="7">
        <v>19.0</v>
      </c>
      <c r="D12" s="8">
        <v>3.66</v>
      </c>
      <c r="E12" s="8">
        <f t="shared" si="2"/>
        <v>550.8478338</v>
      </c>
      <c r="F12" s="11">
        <v>296.0</v>
      </c>
      <c r="G12" s="11">
        <v>340.0</v>
      </c>
      <c r="H12" s="8">
        <f t="shared" si="3"/>
        <v>179.3560547</v>
      </c>
      <c r="I12" s="10">
        <f t="shared" si="4"/>
        <v>206.0170899</v>
      </c>
      <c r="J12" s="8">
        <f t="shared" ref="J12:K12" si="13">F12*1.1</f>
        <v>325.6</v>
      </c>
      <c r="K12" s="8">
        <f t="shared" si="13"/>
        <v>374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" t="s">
        <v>21</v>
      </c>
      <c r="B13" s="6">
        <v>232.0</v>
      </c>
      <c r="C13" s="7">
        <v>19.0</v>
      </c>
      <c r="D13" s="8">
        <v>3.94</v>
      </c>
      <c r="E13" s="8">
        <f t="shared" si="2"/>
        <v>638.354492</v>
      </c>
      <c r="F13" s="11">
        <v>296.0</v>
      </c>
      <c r="G13" s="11">
        <v>340.0</v>
      </c>
      <c r="H13" s="8">
        <f t="shared" si="3"/>
        <v>207.8482226</v>
      </c>
      <c r="I13" s="10">
        <f t="shared" si="4"/>
        <v>238.74458</v>
      </c>
      <c r="J13" s="8">
        <f t="shared" ref="J13:K13" si="14">F13*1.1</f>
        <v>325.6</v>
      </c>
      <c r="K13" s="8">
        <f t="shared" si="14"/>
        <v>374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5" t="s">
        <v>22</v>
      </c>
      <c r="B14" s="6">
        <v>290.0</v>
      </c>
      <c r="C14" s="7">
        <v>37.0</v>
      </c>
      <c r="D14" s="8">
        <v>3.15</v>
      </c>
      <c r="E14" s="8">
        <f t="shared" si="2"/>
        <v>794.5819694</v>
      </c>
      <c r="F14" s="11">
        <v>296.0</v>
      </c>
      <c r="G14" s="11">
        <v>340.0</v>
      </c>
      <c r="H14" s="8">
        <f t="shared" si="3"/>
        <v>258.7158892</v>
      </c>
      <c r="I14" s="10">
        <f t="shared" si="4"/>
        <v>297.1736566</v>
      </c>
      <c r="J14" s="8">
        <f t="shared" ref="J14:K14" si="15">F14*1.1</f>
        <v>325.6</v>
      </c>
      <c r="K14" s="8">
        <f t="shared" si="15"/>
        <v>374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5" t="s">
        <v>22</v>
      </c>
      <c r="B15" s="6">
        <v>345.0</v>
      </c>
      <c r="C15" s="7">
        <v>37.0</v>
      </c>
      <c r="D15" s="8">
        <v>3.45</v>
      </c>
      <c r="E15" s="8">
        <f t="shared" si="2"/>
        <v>953.1380086</v>
      </c>
      <c r="F15" s="11">
        <v>296.0</v>
      </c>
      <c r="G15" s="11">
        <v>340.0</v>
      </c>
      <c r="H15" s="8">
        <f t="shared" si="3"/>
        <v>310.3417356</v>
      </c>
      <c r="I15" s="10">
        <f t="shared" si="4"/>
        <v>356.4736152</v>
      </c>
      <c r="J15" s="8">
        <f t="shared" ref="J15:K15" si="16">F15*1.1</f>
        <v>325.6</v>
      </c>
      <c r="K15" s="8">
        <f t="shared" si="16"/>
        <v>374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5" t="s">
        <v>23</v>
      </c>
      <c r="B16" s="6">
        <v>400.0</v>
      </c>
      <c r="C16" s="7">
        <v>37.0</v>
      </c>
      <c r="D16" s="8">
        <v>3.71</v>
      </c>
      <c r="E16" s="8">
        <f t="shared" si="2"/>
        <v>1102.212717</v>
      </c>
      <c r="F16" s="11">
        <v>296.0</v>
      </c>
      <c r="G16" s="11">
        <v>340.0</v>
      </c>
      <c r="H16" s="8">
        <f t="shared" si="3"/>
        <v>358.8804607</v>
      </c>
      <c r="I16" s="10">
        <f t="shared" si="4"/>
        <v>412.2275562</v>
      </c>
      <c r="J16" s="8">
        <f t="shared" ref="J16:K16" si="17">F16*1.1</f>
        <v>325.6</v>
      </c>
      <c r="K16" s="8">
        <f t="shared" si="17"/>
        <v>374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5" t="s">
        <v>24</v>
      </c>
      <c r="B17" s="6">
        <v>465.0</v>
      </c>
      <c r="C17" s="7">
        <v>37.0</v>
      </c>
      <c r="D17" s="8">
        <v>4.0</v>
      </c>
      <c r="E17" s="8">
        <f t="shared" si="2"/>
        <v>1281.260923</v>
      </c>
      <c r="F17" s="11">
        <v>296.0</v>
      </c>
      <c r="G17" s="11">
        <v>340.0</v>
      </c>
      <c r="H17" s="8">
        <f t="shared" si="3"/>
        <v>417.1785566</v>
      </c>
      <c r="I17" s="10">
        <f t="shared" si="4"/>
        <v>479.1915853</v>
      </c>
      <c r="J17" s="8">
        <f t="shared" ref="J17:K17" si="18">F17*1.1</f>
        <v>325.6</v>
      </c>
      <c r="K17" s="8">
        <f t="shared" si="18"/>
        <v>374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5" t="s">
        <v>25</v>
      </c>
      <c r="B18" s="6">
        <v>525.0</v>
      </c>
      <c r="C18" s="7">
        <v>61.0</v>
      </c>
      <c r="D18" s="8">
        <v>3.31</v>
      </c>
      <c r="E18" s="8">
        <f t="shared" si="2"/>
        <v>1446.444241</v>
      </c>
      <c r="F18" s="11">
        <v>296.0</v>
      </c>
      <c r="G18" s="11">
        <v>340.0</v>
      </c>
      <c r="H18" s="8">
        <f t="shared" si="3"/>
        <v>470.962245</v>
      </c>
      <c r="I18" s="10">
        <f t="shared" si="4"/>
        <v>540.9701462</v>
      </c>
      <c r="J18" s="8">
        <f t="shared" ref="J18:K18" si="19">F18*1.1</f>
        <v>325.6</v>
      </c>
      <c r="K18" s="8">
        <f t="shared" si="19"/>
        <v>374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5" t="s">
        <v>26</v>
      </c>
      <c r="B19" s="6">
        <v>570.0</v>
      </c>
      <c r="C19" s="7">
        <v>61.0</v>
      </c>
      <c r="D19" s="8">
        <v>3.45</v>
      </c>
      <c r="E19" s="8">
        <f t="shared" si="2"/>
        <v>1571.38969</v>
      </c>
      <c r="F19" s="11">
        <v>296.0</v>
      </c>
      <c r="G19" s="11">
        <v>340.0</v>
      </c>
      <c r="H19" s="8">
        <f t="shared" si="3"/>
        <v>511.644483</v>
      </c>
      <c r="I19" s="10">
        <f t="shared" si="4"/>
        <v>587.699744</v>
      </c>
      <c r="J19" s="8">
        <f t="shared" ref="J19:K19" si="20">F19*1.1</f>
        <v>325.6</v>
      </c>
      <c r="K19" s="8">
        <f t="shared" si="20"/>
        <v>374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5" t="s">
        <v>27</v>
      </c>
      <c r="B20" s="6">
        <f>D20*D20*0.785*C20*1.02</f>
        <v>781.4832</v>
      </c>
      <c r="C20" s="12">
        <v>61.0</v>
      </c>
      <c r="D20" s="12">
        <v>4.0</v>
      </c>
      <c r="E20" s="8">
        <f t="shared" si="2"/>
        <v>2112.34909</v>
      </c>
      <c r="F20" s="11">
        <v>296.0</v>
      </c>
      <c r="G20" s="11">
        <v>340.0</v>
      </c>
      <c r="H20" s="8">
        <f t="shared" si="3"/>
        <v>687.7808636</v>
      </c>
      <c r="I20" s="10">
        <f t="shared" si="4"/>
        <v>790.0185595</v>
      </c>
      <c r="J20" s="8">
        <f t="shared" ref="J20:K20" si="21">F20*1.1</f>
        <v>325.6</v>
      </c>
      <c r="K20" s="8">
        <f t="shared" si="21"/>
        <v>374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13"/>
    <col customWidth="1" min="2" max="19" width="13.0"/>
  </cols>
  <sheetData>
    <row r="1">
      <c r="A1" s="13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5" t="s">
        <v>35</v>
      </c>
      <c r="I1" s="16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8" t="s">
        <v>41</v>
      </c>
      <c r="O1" s="18" t="s">
        <v>42</v>
      </c>
      <c r="P1" s="19" t="s">
        <v>43</v>
      </c>
      <c r="Q1" s="19" t="s">
        <v>44</v>
      </c>
      <c r="R1" s="16" t="s">
        <v>45</v>
      </c>
      <c r="S1" s="16" t="s">
        <v>46</v>
      </c>
      <c r="T1" s="20" t="s">
        <v>47</v>
      </c>
      <c r="U1" s="21"/>
      <c r="V1" s="21"/>
      <c r="W1" s="21"/>
      <c r="X1" s="21"/>
      <c r="Y1" s="21"/>
      <c r="Z1" s="21"/>
      <c r="AA1" s="21"/>
      <c r="AB1" s="21"/>
    </row>
    <row r="2">
      <c r="A2" s="22" t="s">
        <v>48</v>
      </c>
      <c r="B2" s="23" t="s">
        <v>49</v>
      </c>
      <c r="C2" s="23">
        <v>1.7</v>
      </c>
      <c r="D2" s="23">
        <v>0.0</v>
      </c>
      <c r="E2" s="23">
        <v>1.7</v>
      </c>
      <c r="F2" s="23">
        <v>1.2</v>
      </c>
      <c r="G2" s="23">
        <v>0.0</v>
      </c>
      <c r="H2" s="24">
        <v>0.0</v>
      </c>
      <c r="I2" s="25">
        <f t="shared" ref="I2:I41" si="1">(C2*3)+(F2*2)</f>
        <v>7.5</v>
      </c>
      <c r="J2" s="26">
        <f>(C2*C2*0.785*7*1.02*2.703*3)+(D2*D2*0.785*7*1.02*2.703)</f>
        <v>131.3508875</v>
      </c>
      <c r="K2" s="26">
        <f>(E2*E2*0.785*7*1.02*2.703)</f>
        <v>43.78362918</v>
      </c>
      <c r="L2" s="26">
        <f t="shared" ref="L2:L13" si="2">(((C2*3)+F2)*F2*0.96*3.14*3)+(((D2*3)+G2)*G2*0.96*3.14)+(((E2*3)+H2)*H2*0.96*3.14)</f>
        <v>68.366592</v>
      </c>
      <c r="M2" s="26">
        <f t="shared" ref="M2:M69" si="3">J2+L2</f>
        <v>199.7174795</v>
      </c>
      <c r="N2" s="27">
        <v>340.0</v>
      </c>
      <c r="O2" s="27">
        <f t="shared" ref="O2:O69" si="4">(310*1.0354)+2</f>
        <v>322.974</v>
      </c>
      <c r="P2" s="28">
        <v>116.0</v>
      </c>
      <c r="Q2" s="28">
        <v>70.0</v>
      </c>
      <c r="R2" s="25">
        <f>(J2*O2)+(K2*N2)+(L2*P2)</f>
        <v>65239.88015</v>
      </c>
      <c r="S2" s="25">
        <f>R2*1.15</f>
        <v>75025.86217</v>
      </c>
      <c r="T2" s="29">
        <f t="shared" ref="T2:T69" si="5">S2/1000</f>
        <v>75.02586217</v>
      </c>
    </row>
    <row r="3">
      <c r="A3" s="30"/>
      <c r="B3" s="31" t="s">
        <v>50</v>
      </c>
      <c r="C3" s="31">
        <v>1.5</v>
      </c>
      <c r="D3" s="31">
        <v>0.0</v>
      </c>
      <c r="E3" s="31">
        <v>1.5</v>
      </c>
      <c r="F3" s="31">
        <v>1.3</v>
      </c>
      <c r="G3" s="31">
        <v>0.0</v>
      </c>
      <c r="H3" s="24">
        <v>0.0</v>
      </c>
      <c r="I3" s="25">
        <f t="shared" si="1"/>
        <v>7.1</v>
      </c>
      <c r="J3" s="26">
        <f t="shared" ref="J3:J5" si="6">(C3*C3*0.785*7*1.02*2.703*3)+(D3*D3*0.785*7*1.02*2.703)+(E3*E3*0.785*7*1.02*2.703)</f>
        <v>136.3504023</v>
      </c>
      <c r="K3" s="26" t="s">
        <v>51</v>
      </c>
      <c r="L3" s="26">
        <f t="shared" si="2"/>
        <v>68.185728</v>
      </c>
      <c r="M3" s="26">
        <f t="shared" si="3"/>
        <v>204.5361303</v>
      </c>
      <c r="N3" s="27">
        <v>340.0</v>
      </c>
      <c r="O3" s="27">
        <f t="shared" si="4"/>
        <v>322.974</v>
      </c>
      <c r="P3" s="28">
        <v>116.0</v>
      </c>
      <c r="Q3" s="28">
        <v>70.0</v>
      </c>
      <c r="R3" s="25">
        <f t="shared" ref="R3:R5" si="7">(J3*O3)+(L3*Q3)</f>
        <v>48810.63579</v>
      </c>
      <c r="S3" s="25">
        <f t="shared" ref="S3:S5" si="8">R3*1.2</f>
        <v>58572.76295</v>
      </c>
      <c r="T3" s="29">
        <f t="shared" si="5"/>
        <v>58.57276295</v>
      </c>
    </row>
    <row r="4">
      <c r="A4" s="32"/>
      <c r="B4" s="23" t="s">
        <v>52</v>
      </c>
      <c r="C4" s="23">
        <v>1.4</v>
      </c>
      <c r="D4" s="23">
        <v>0.0</v>
      </c>
      <c r="E4" s="23">
        <v>1.4</v>
      </c>
      <c r="F4" s="23">
        <v>1.3</v>
      </c>
      <c r="G4" s="23">
        <v>0.0</v>
      </c>
      <c r="H4" s="24">
        <v>0.0</v>
      </c>
      <c r="I4" s="25">
        <f t="shared" si="1"/>
        <v>6.8</v>
      </c>
      <c r="J4" s="26">
        <f t="shared" si="6"/>
        <v>118.7763504</v>
      </c>
      <c r="K4" s="26" t="s">
        <v>51</v>
      </c>
      <c r="L4" s="26">
        <f t="shared" si="2"/>
        <v>64.65888</v>
      </c>
      <c r="M4" s="26">
        <f t="shared" si="3"/>
        <v>183.4352304</v>
      </c>
      <c r="N4" s="27">
        <v>340.0</v>
      </c>
      <c r="O4" s="27">
        <f t="shared" si="4"/>
        <v>322.974</v>
      </c>
      <c r="P4" s="28">
        <v>116.0</v>
      </c>
      <c r="Q4" s="28">
        <v>70.0</v>
      </c>
      <c r="R4" s="25">
        <f t="shared" si="7"/>
        <v>42887.79461</v>
      </c>
      <c r="S4" s="25">
        <f t="shared" si="8"/>
        <v>51465.35353</v>
      </c>
      <c r="T4" s="29">
        <f t="shared" si="5"/>
        <v>51.46535353</v>
      </c>
    </row>
    <row r="5">
      <c r="A5" s="33"/>
      <c r="B5" s="31" t="s">
        <v>53</v>
      </c>
      <c r="C5" s="31">
        <v>1.32</v>
      </c>
      <c r="D5" s="31">
        <v>0.0</v>
      </c>
      <c r="E5" s="31">
        <v>1.32</v>
      </c>
      <c r="F5" s="31">
        <v>1.4</v>
      </c>
      <c r="G5" s="31">
        <v>0.0</v>
      </c>
      <c r="H5" s="24">
        <v>0.0</v>
      </c>
      <c r="I5" s="25">
        <f t="shared" si="1"/>
        <v>6.76</v>
      </c>
      <c r="J5" s="26">
        <f t="shared" si="6"/>
        <v>105.5897515</v>
      </c>
      <c r="K5" s="26" t="s">
        <v>51</v>
      </c>
      <c r="L5" s="26">
        <f t="shared" si="2"/>
        <v>67.8601728</v>
      </c>
      <c r="M5" s="26">
        <f t="shared" si="3"/>
        <v>173.4499243</v>
      </c>
      <c r="N5" s="27">
        <v>340.0</v>
      </c>
      <c r="O5" s="27">
        <f t="shared" si="4"/>
        <v>322.974</v>
      </c>
      <c r="P5" s="28">
        <v>116.0</v>
      </c>
      <c r="Q5" s="28">
        <v>70.0</v>
      </c>
      <c r="R5" s="25">
        <f t="shared" si="7"/>
        <v>38852.95651</v>
      </c>
      <c r="S5" s="25">
        <f t="shared" si="8"/>
        <v>46623.54781</v>
      </c>
      <c r="T5" s="29">
        <f t="shared" si="5"/>
        <v>46.62354781</v>
      </c>
    </row>
    <row r="6">
      <c r="A6" s="22" t="s">
        <v>54</v>
      </c>
      <c r="B6" s="23" t="s">
        <v>49</v>
      </c>
      <c r="C6" s="23">
        <v>1.7</v>
      </c>
      <c r="D6" s="23">
        <v>0.0</v>
      </c>
      <c r="E6" s="23">
        <v>2.12</v>
      </c>
      <c r="F6" s="23">
        <v>1.2</v>
      </c>
      <c r="G6" s="23">
        <v>0.0</v>
      </c>
      <c r="H6" s="24">
        <v>0.0</v>
      </c>
      <c r="I6" s="25">
        <f t="shared" si="1"/>
        <v>7.5</v>
      </c>
      <c r="J6" s="26">
        <f>(C6*C6*0.785*7*1.02*2.703*3)+(D6*D6*0.785*7*1.02*2.703)</f>
        <v>131.3508875</v>
      </c>
      <c r="K6" s="26">
        <f>(E6*E6*0.785*7*1.02*2.703)</f>
        <v>68.0903609</v>
      </c>
      <c r="L6" s="26">
        <f t="shared" si="2"/>
        <v>68.366592</v>
      </c>
      <c r="M6" s="26">
        <f t="shared" si="3"/>
        <v>199.7174795</v>
      </c>
      <c r="N6" s="27">
        <v>340.0</v>
      </c>
      <c r="O6" s="27">
        <f t="shared" si="4"/>
        <v>322.974</v>
      </c>
      <c r="P6" s="28">
        <v>116.0</v>
      </c>
      <c r="Q6" s="28">
        <v>70.0</v>
      </c>
      <c r="R6" s="25">
        <f>(J6*O6)+(K6*N6)+(L6*P6)</f>
        <v>73504.16893</v>
      </c>
      <c r="S6" s="25">
        <f>R6*1.15</f>
        <v>84529.79427</v>
      </c>
      <c r="T6" s="29">
        <f t="shared" si="5"/>
        <v>84.52979427</v>
      </c>
    </row>
    <row r="7">
      <c r="A7" s="30"/>
      <c r="B7" s="31" t="s">
        <v>50</v>
      </c>
      <c r="C7" s="31">
        <v>1.5</v>
      </c>
      <c r="D7" s="31">
        <v>0.0</v>
      </c>
      <c r="E7" s="31">
        <v>1.7</v>
      </c>
      <c r="F7" s="31">
        <v>1.3</v>
      </c>
      <c r="G7" s="31">
        <v>0.0</v>
      </c>
      <c r="H7" s="24">
        <v>0.0</v>
      </c>
      <c r="I7" s="25">
        <f t="shared" si="1"/>
        <v>7.1</v>
      </c>
      <c r="J7" s="26">
        <f t="shared" ref="J7:J9" si="9">(C7*C7*0.785*7*1.02*2.703*3)+(D7*D7*0.785*7*1.02*2.703)+(E7*E7*0.785*7*1.02*2.703)</f>
        <v>146.0464309</v>
      </c>
      <c r="K7" s="26" t="s">
        <v>51</v>
      </c>
      <c r="L7" s="26">
        <f t="shared" si="2"/>
        <v>68.185728</v>
      </c>
      <c r="M7" s="26">
        <f t="shared" si="3"/>
        <v>214.2321589</v>
      </c>
      <c r="N7" s="27">
        <v>340.0</v>
      </c>
      <c r="O7" s="27">
        <f t="shared" si="4"/>
        <v>322.974</v>
      </c>
      <c r="P7" s="28">
        <v>116.0</v>
      </c>
      <c r="Q7" s="28">
        <v>70.0</v>
      </c>
      <c r="R7" s="25">
        <f t="shared" ref="R7:R9" si="10">(J7*O7)+(L7*Q7)</f>
        <v>51942.20094</v>
      </c>
      <c r="S7" s="25">
        <f t="shared" ref="S7:S9" si="11">R7*1.2</f>
        <v>62330.64112</v>
      </c>
      <c r="T7" s="29">
        <f t="shared" si="5"/>
        <v>62.33064112</v>
      </c>
    </row>
    <row r="8">
      <c r="A8" s="32"/>
      <c r="B8" s="23" t="s">
        <v>52</v>
      </c>
      <c r="C8" s="23">
        <v>1.4</v>
      </c>
      <c r="D8" s="23">
        <v>0.0</v>
      </c>
      <c r="E8" s="23">
        <v>1.6</v>
      </c>
      <c r="F8" s="23">
        <v>1.3</v>
      </c>
      <c r="G8" s="23">
        <v>0.0</v>
      </c>
      <c r="H8" s="24">
        <v>0.0</v>
      </c>
      <c r="I8" s="25">
        <f t="shared" si="1"/>
        <v>6.8</v>
      </c>
      <c r="J8" s="26">
        <f t="shared" si="9"/>
        <v>127.8663773</v>
      </c>
      <c r="K8" s="26" t="s">
        <v>51</v>
      </c>
      <c r="L8" s="26">
        <f t="shared" si="2"/>
        <v>64.65888</v>
      </c>
      <c r="M8" s="26">
        <f t="shared" si="3"/>
        <v>192.5252573</v>
      </c>
      <c r="N8" s="27">
        <v>340.0</v>
      </c>
      <c r="O8" s="27">
        <f t="shared" si="4"/>
        <v>322.974</v>
      </c>
      <c r="P8" s="28">
        <v>116.0</v>
      </c>
      <c r="Q8" s="28">
        <v>70.0</v>
      </c>
      <c r="R8" s="25">
        <f t="shared" si="10"/>
        <v>45823.63693</v>
      </c>
      <c r="S8" s="25">
        <f t="shared" si="11"/>
        <v>54988.36432</v>
      </c>
      <c r="T8" s="29">
        <f t="shared" si="5"/>
        <v>54.98836432</v>
      </c>
    </row>
    <row r="9">
      <c r="A9" s="33"/>
      <c r="B9" s="31" t="s">
        <v>53</v>
      </c>
      <c r="C9" s="31">
        <v>1.32</v>
      </c>
      <c r="D9" s="31">
        <v>0.0</v>
      </c>
      <c r="E9" s="31">
        <v>1.6</v>
      </c>
      <c r="F9" s="31">
        <v>1.4</v>
      </c>
      <c r="G9" s="31">
        <v>0.0</v>
      </c>
      <c r="H9" s="24">
        <v>0.0</v>
      </c>
      <c r="I9" s="25">
        <f t="shared" si="1"/>
        <v>6.76</v>
      </c>
      <c r="J9" s="26">
        <f t="shared" si="9"/>
        <v>117.9764281</v>
      </c>
      <c r="K9" s="26" t="s">
        <v>51</v>
      </c>
      <c r="L9" s="26">
        <f t="shared" si="2"/>
        <v>67.8601728</v>
      </c>
      <c r="M9" s="26">
        <f t="shared" si="3"/>
        <v>185.8366009</v>
      </c>
      <c r="N9" s="27">
        <v>340.0</v>
      </c>
      <c r="O9" s="27">
        <f t="shared" si="4"/>
        <v>322.974</v>
      </c>
      <c r="P9" s="28">
        <v>116.0</v>
      </c>
      <c r="Q9" s="28">
        <v>70.0</v>
      </c>
      <c r="R9" s="25">
        <f t="shared" si="10"/>
        <v>42853.53098</v>
      </c>
      <c r="S9" s="25">
        <f t="shared" si="11"/>
        <v>51424.23718</v>
      </c>
      <c r="T9" s="29">
        <f t="shared" si="5"/>
        <v>51.42423718</v>
      </c>
    </row>
    <row r="10">
      <c r="A10" s="22" t="s">
        <v>55</v>
      </c>
      <c r="B10" s="23" t="s">
        <v>49</v>
      </c>
      <c r="C10" s="23">
        <v>2.12</v>
      </c>
      <c r="D10" s="23">
        <v>0.0</v>
      </c>
      <c r="E10" s="23">
        <v>1.7</v>
      </c>
      <c r="F10" s="23">
        <v>1.2</v>
      </c>
      <c r="G10" s="23">
        <v>0.0</v>
      </c>
      <c r="H10" s="24">
        <v>0.0</v>
      </c>
      <c r="I10" s="25">
        <f t="shared" si="1"/>
        <v>8.76</v>
      </c>
      <c r="J10" s="26">
        <f>(C10*C10*0.785*7*1.02*2.703*3)+(D10*D10*0.785*7*1.02*2.703)</f>
        <v>204.2710827</v>
      </c>
      <c r="K10" s="26">
        <f>(E10*E10*0.785*7*1.02*2.703)</f>
        <v>43.78362918</v>
      </c>
      <c r="L10" s="26">
        <f t="shared" si="2"/>
        <v>82.0399104</v>
      </c>
      <c r="M10" s="26">
        <f t="shared" si="3"/>
        <v>286.3109931</v>
      </c>
      <c r="N10" s="27">
        <v>340.0</v>
      </c>
      <c r="O10" s="27">
        <f t="shared" si="4"/>
        <v>322.974</v>
      </c>
      <c r="P10" s="28">
        <v>116.0</v>
      </c>
      <c r="Q10" s="28">
        <v>70.0</v>
      </c>
      <c r="R10" s="25">
        <f>(J10*O10)+(K10*N10)+(L10*P10)</f>
        <v>90377.31219</v>
      </c>
      <c r="S10" s="25">
        <f>R10*1.15</f>
        <v>103933.909</v>
      </c>
      <c r="T10" s="29">
        <f t="shared" si="5"/>
        <v>103.933909</v>
      </c>
    </row>
    <row r="11">
      <c r="A11" s="30"/>
      <c r="B11" s="31" t="s">
        <v>50</v>
      </c>
      <c r="C11" s="31">
        <v>1.7</v>
      </c>
      <c r="D11" s="31">
        <v>0.0</v>
      </c>
      <c r="E11" s="31">
        <v>1.5</v>
      </c>
      <c r="F11" s="31">
        <v>1.3</v>
      </c>
      <c r="G11" s="31">
        <v>0.0</v>
      </c>
      <c r="H11" s="24">
        <v>0.0</v>
      </c>
      <c r="I11" s="25">
        <f t="shared" si="1"/>
        <v>7.7</v>
      </c>
      <c r="J11" s="26">
        <f t="shared" ref="J11:J13" si="12">(C11*C11*0.785*7*1.02*2.703*3)+(D11*D11*0.785*7*1.02*2.703)+(E11*E11*0.785*7*1.02*2.703)</f>
        <v>165.4384881</v>
      </c>
      <c r="K11" s="26" t="s">
        <v>51</v>
      </c>
      <c r="L11" s="26">
        <f t="shared" si="2"/>
        <v>75.239424</v>
      </c>
      <c r="M11" s="26">
        <f t="shared" si="3"/>
        <v>240.6779121</v>
      </c>
      <c r="N11" s="27">
        <v>340.0</v>
      </c>
      <c r="O11" s="27">
        <f t="shared" si="4"/>
        <v>322.974</v>
      </c>
      <c r="P11" s="28">
        <v>116.0</v>
      </c>
      <c r="Q11" s="28">
        <v>70.0</v>
      </c>
      <c r="R11" s="25">
        <f t="shared" ref="R11:R13" si="13">(J11*O11)+(L11*Q11)</f>
        <v>58699.08994</v>
      </c>
      <c r="S11" s="25">
        <f t="shared" ref="S11:S13" si="14">R11*1.2</f>
        <v>70438.90793</v>
      </c>
      <c r="T11" s="29">
        <f t="shared" si="5"/>
        <v>70.43890793</v>
      </c>
    </row>
    <row r="12">
      <c r="A12" s="32"/>
      <c r="B12" s="23" t="s">
        <v>52</v>
      </c>
      <c r="C12" s="23">
        <v>1.6</v>
      </c>
      <c r="D12" s="23">
        <v>0.0</v>
      </c>
      <c r="E12" s="23">
        <v>1.4</v>
      </c>
      <c r="F12" s="23">
        <v>1.3</v>
      </c>
      <c r="G12" s="23">
        <v>0.0</v>
      </c>
      <c r="H12" s="24">
        <v>0.0</v>
      </c>
      <c r="I12" s="25">
        <f t="shared" si="1"/>
        <v>7.4</v>
      </c>
      <c r="J12" s="26">
        <f t="shared" si="12"/>
        <v>146.0464309</v>
      </c>
      <c r="K12" s="26" t="s">
        <v>51</v>
      </c>
      <c r="L12" s="26">
        <f t="shared" si="2"/>
        <v>71.712576</v>
      </c>
      <c r="M12" s="26">
        <f t="shared" si="3"/>
        <v>217.7590069</v>
      </c>
      <c r="N12" s="27">
        <v>340.0</v>
      </c>
      <c r="O12" s="27">
        <f t="shared" si="4"/>
        <v>322.974</v>
      </c>
      <c r="P12" s="28">
        <v>116.0</v>
      </c>
      <c r="Q12" s="28">
        <v>70.0</v>
      </c>
      <c r="R12" s="25">
        <f t="shared" si="13"/>
        <v>52189.0803</v>
      </c>
      <c r="S12" s="25">
        <f t="shared" si="14"/>
        <v>62626.89636</v>
      </c>
      <c r="T12" s="29">
        <f t="shared" si="5"/>
        <v>62.62689636</v>
      </c>
    </row>
    <row r="13">
      <c r="A13" s="33"/>
      <c r="B13" s="31" t="s">
        <v>53</v>
      </c>
      <c r="C13" s="31">
        <v>1.5</v>
      </c>
      <c r="D13" s="31">
        <v>0.0</v>
      </c>
      <c r="E13" s="31">
        <v>1.32</v>
      </c>
      <c r="F13" s="31">
        <v>1.4</v>
      </c>
      <c r="G13" s="31">
        <v>0.0</v>
      </c>
      <c r="H13" s="24">
        <v>0.0</v>
      </c>
      <c r="I13" s="25">
        <f t="shared" si="1"/>
        <v>7.3</v>
      </c>
      <c r="J13" s="26">
        <f t="shared" si="12"/>
        <v>128.6602396</v>
      </c>
      <c r="K13" s="26" t="s">
        <v>51</v>
      </c>
      <c r="L13" s="26">
        <f t="shared" si="2"/>
        <v>74.696832</v>
      </c>
      <c r="M13" s="26">
        <f t="shared" si="3"/>
        <v>203.3570716</v>
      </c>
      <c r="N13" s="27">
        <v>340.0</v>
      </c>
      <c r="O13" s="27">
        <f t="shared" si="4"/>
        <v>322.974</v>
      </c>
      <c r="P13" s="28">
        <v>116.0</v>
      </c>
      <c r="Q13" s="28">
        <v>70.0</v>
      </c>
      <c r="R13" s="25">
        <f t="shared" si="13"/>
        <v>46782.69047</v>
      </c>
      <c r="S13" s="25">
        <f t="shared" si="14"/>
        <v>56139.22856</v>
      </c>
      <c r="T13" s="29">
        <f t="shared" si="5"/>
        <v>56.13922856</v>
      </c>
    </row>
    <row r="14">
      <c r="A14" s="22" t="s">
        <v>56</v>
      </c>
      <c r="B14" s="23" t="s">
        <v>49</v>
      </c>
      <c r="C14" s="23">
        <v>2.12</v>
      </c>
      <c r="D14" s="23">
        <v>0.0</v>
      </c>
      <c r="E14" s="23">
        <v>1.7</v>
      </c>
      <c r="F14" s="23">
        <v>1.2</v>
      </c>
      <c r="G14" s="23">
        <v>0.0</v>
      </c>
      <c r="H14" s="24">
        <v>0.0</v>
      </c>
      <c r="I14" s="25">
        <f t="shared" si="1"/>
        <v>8.76</v>
      </c>
      <c r="J14" s="26">
        <f>(C14*C14*0.785*7*1.02*2.703*2)+(D14*D14*0.785*7*1.02*2.703)</f>
        <v>136.1807218</v>
      </c>
      <c r="K14" s="26">
        <f>(E14*E14*0.785*7*1.02*2.703)</f>
        <v>43.78362918</v>
      </c>
      <c r="L14" s="26">
        <f t="shared" ref="L14:L17" si="15">(((C14*3)+F14)*F14*0.96*3.14*2)+(((D14*3)+G14)*G14*0.96*3.14)+(((E14*3)+H14)*H14*0.96*3.14)</f>
        <v>54.6932736</v>
      </c>
      <c r="M14" s="26">
        <f t="shared" si="3"/>
        <v>190.8739954</v>
      </c>
      <c r="N14" s="27">
        <v>340.0</v>
      </c>
      <c r="O14" s="27">
        <f t="shared" si="4"/>
        <v>322.974</v>
      </c>
      <c r="P14" s="28">
        <v>116.0</v>
      </c>
      <c r="Q14" s="28">
        <v>70.0</v>
      </c>
      <c r="R14" s="25">
        <f>(J14*O14)+(K14*N14)+(L14*P14)</f>
        <v>65213.6861</v>
      </c>
      <c r="S14" s="25">
        <f>R14*1.15</f>
        <v>74995.73902</v>
      </c>
      <c r="T14" s="29">
        <f t="shared" si="5"/>
        <v>74.99573902</v>
      </c>
    </row>
    <row r="15">
      <c r="A15" s="30"/>
      <c r="B15" s="31" t="s">
        <v>50</v>
      </c>
      <c r="C15" s="31">
        <v>1.7</v>
      </c>
      <c r="D15" s="31">
        <v>0.0</v>
      </c>
      <c r="E15" s="31">
        <v>1.5</v>
      </c>
      <c r="F15" s="31">
        <v>1.3</v>
      </c>
      <c r="G15" s="31">
        <v>0.0</v>
      </c>
      <c r="H15" s="24">
        <v>0.0</v>
      </c>
      <c r="I15" s="25">
        <f t="shared" si="1"/>
        <v>7.7</v>
      </c>
      <c r="J15" s="26">
        <f t="shared" ref="J15:J17" si="16">(C15*C15*0.785*7*1.02*2.703*2)+(D15*D15*0.785*7*1.02*2.703)+(E15*E15*0.785*7*1.02*2.703)</f>
        <v>121.6548589</v>
      </c>
      <c r="K15" s="26" t="s">
        <v>51</v>
      </c>
      <c r="L15" s="26">
        <f t="shared" si="15"/>
        <v>50.159616</v>
      </c>
      <c r="M15" s="26">
        <f t="shared" si="3"/>
        <v>171.8144749</v>
      </c>
      <c r="N15" s="27">
        <v>340.0</v>
      </c>
      <c r="O15" s="27">
        <f t="shared" si="4"/>
        <v>322.974</v>
      </c>
      <c r="P15" s="28">
        <v>116.0</v>
      </c>
      <c r="Q15" s="28">
        <v>70.0</v>
      </c>
      <c r="R15" s="25">
        <f t="shared" ref="R15:R17" si="17">(J15*O15)+(L15*Q15)</f>
        <v>42802.52953</v>
      </c>
      <c r="S15" s="25">
        <f t="shared" ref="S15:S17" si="18">R15*1.2</f>
        <v>51363.03544</v>
      </c>
      <c r="T15" s="29">
        <f t="shared" si="5"/>
        <v>51.36303544</v>
      </c>
    </row>
    <row r="16">
      <c r="A16" s="32"/>
      <c r="B16" s="23" t="s">
        <v>52</v>
      </c>
      <c r="C16" s="23">
        <v>1.6</v>
      </c>
      <c r="D16" s="23">
        <v>0.0</v>
      </c>
      <c r="E16" s="23">
        <v>1.4</v>
      </c>
      <c r="F16" s="23">
        <v>1.3</v>
      </c>
      <c r="G16" s="23">
        <v>0.0</v>
      </c>
      <c r="H16" s="24">
        <v>0.0</v>
      </c>
      <c r="I16" s="25">
        <f t="shared" si="1"/>
        <v>7.4</v>
      </c>
      <c r="J16" s="26">
        <f t="shared" si="16"/>
        <v>107.2623165</v>
      </c>
      <c r="K16" s="26" t="s">
        <v>51</v>
      </c>
      <c r="L16" s="26">
        <f t="shared" si="15"/>
        <v>47.808384</v>
      </c>
      <c r="M16" s="26">
        <f t="shared" si="3"/>
        <v>155.0707005</v>
      </c>
      <c r="N16" s="27">
        <v>340.0</v>
      </c>
      <c r="O16" s="27">
        <f t="shared" si="4"/>
        <v>322.974</v>
      </c>
      <c r="P16" s="28">
        <v>116.0</v>
      </c>
      <c r="Q16" s="28">
        <v>70.0</v>
      </c>
      <c r="R16" s="25">
        <f t="shared" si="17"/>
        <v>37989.52628</v>
      </c>
      <c r="S16" s="25">
        <f t="shared" si="18"/>
        <v>45587.43154</v>
      </c>
      <c r="T16" s="29">
        <f t="shared" si="5"/>
        <v>45.58743154</v>
      </c>
    </row>
    <row r="17">
      <c r="A17" s="33"/>
      <c r="B17" s="31" t="s">
        <v>53</v>
      </c>
      <c r="C17" s="31">
        <v>1.5</v>
      </c>
      <c r="D17" s="31">
        <v>0.0</v>
      </c>
      <c r="E17" s="31">
        <v>1.32</v>
      </c>
      <c r="F17" s="31">
        <v>1.4</v>
      </c>
      <c r="G17" s="31">
        <v>0.0</v>
      </c>
      <c r="H17" s="24">
        <v>0.0</v>
      </c>
      <c r="I17" s="25">
        <f t="shared" si="1"/>
        <v>7.3</v>
      </c>
      <c r="J17" s="26">
        <f t="shared" si="16"/>
        <v>94.57263904</v>
      </c>
      <c r="K17" s="26" t="s">
        <v>51</v>
      </c>
      <c r="L17" s="26">
        <f t="shared" si="15"/>
        <v>49.797888</v>
      </c>
      <c r="M17" s="26">
        <f t="shared" si="3"/>
        <v>144.370527</v>
      </c>
      <c r="N17" s="27">
        <v>340.0</v>
      </c>
      <c r="O17" s="27">
        <f t="shared" si="4"/>
        <v>322.974</v>
      </c>
      <c r="P17" s="28">
        <v>116.0</v>
      </c>
      <c r="Q17" s="28">
        <v>70.0</v>
      </c>
      <c r="R17" s="25">
        <f t="shared" si="17"/>
        <v>34030.35568</v>
      </c>
      <c r="S17" s="25">
        <f t="shared" si="18"/>
        <v>40836.42682</v>
      </c>
      <c r="T17" s="29">
        <f t="shared" si="5"/>
        <v>40.83642682</v>
      </c>
    </row>
    <row r="18">
      <c r="A18" s="22" t="s">
        <v>57</v>
      </c>
      <c r="B18" s="23" t="s">
        <v>49</v>
      </c>
      <c r="C18" s="23">
        <v>2.12</v>
      </c>
      <c r="D18" s="23">
        <v>0.0</v>
      </c>
      <c r="E18" s="23">
        <v>2.12</v>
      </c>
      <c r="F18" s="23">
        <v>1.2</v>
      </c>
      <c r="G18" s="23">
        <v>0.0</v>
      </c>
      <c r="H18" s="24">
        <v>0.0</v>
      </c>
      <c r="I18" s="25">
        <f t="shared" si="1"/>
        <v>8.76</v>
      </c>
      <c r="J18" s="26">
        <f>(C18*C18*0.785*7*1.02*2.703*3)+(D18*D18*0.785*7*1.02*2.703)</f>
        <v>204.2710827</v>
      </c>
      <c r="K18" s="26">
        <f>(E18*E18*0.785*7*1.02*2.703)</f>
        <v>68.0903609</v>
      </c>
      <c r="L18" s="26">
        <f t="shared" ref="L18:L41" si="19">(((C18*3)+F18)*F18*0.96*3.14*3)+(((D18*3)+G18)*G18*0.96*3.14)+(((E18*3)+H18)*H18*0.96*3.14)</f>
        <v>82.0399104</v>
      </c>
      <c r="M18" s="26">
        <f t="shared" si="3"/>
        <v>286.3109931</v>
      </c>
      <c r="N18" s="27">
        <v>340.0</v>
      </c>
      <c r="O18" s="27">
        <f t="shared" si="4"/>
        <v>322.974</v>
      </c>
      <c r="P18" s="28">
        <v>116.0</v>
      </c>
      <c r="Q18" s="28">
        <v>70.0</v>
      </c>
      <c r="R18" s="25">
        <f>(J18*O18)+(K18*N18)+(L18*P18)</f>
        <v>98641.60098</v>
      </c>
      <c r="S18" s="25">
        <f>R18*1.15</f>
        <v>113437.8411</v>
      </c>
      <c r="T18" s="29">
        <f t="shared" si="5"/>
        <v>113.4378411</v>
      </c>
    </row>
    <row r="19">
      <c r="A19" s="30"/>
      <c r="B19" s="31" t="s">
        <v>50</v>
      </c>
      <c r="C19" s="31">
        <v>1.7</v>
      </c>
      <c r="D19" s="31">
        <v>0.0</v>
      </c>
      <c r="E19" s="31">
        <v>1.7</v>
      </c>
      <c r="F19" s="31">
        <v>1.3</v>
      </c>
      <c r="G19" s="31">
        <v>0.0</v>
      </c>
      <c r="H19" s="24">
        <v>0.0</v>
      </c>
      <c r="I19" s="25">
        <f t="shared" si="1"/>
        <v>7.7</v>
      </c>
      <c r="J19" s="26">
        <f t="shared" ref="J19:J21" si="20">(C19*C19*0.785*7*1.02*2.703*3)+(D19*D19*0.785*7*1.02*2.703)+(E19*E19*0.785*7*1.02*2.703)</f>
        <v>175.1345167</v>
      </c>
      <c r="K19" s="26" t="s">
        <v>51</v>
      </c>
      <c r="L19" s="26">
        <f t="shared" si="19"/>
        <v>75.239424</v>
      </c>
      <c r="M19" s="26">
        <f t="shared" si="3"/>
        <v>250.3739407</v>
      </c>
      <c r="N19" s="27">
        <v>340.0</v>
      </c>
      <c r="O19" s="27">
        <f t="shared" si="4"/>
        <v>322.974</v>
      </c>
      <c r="P19" s="28">
        <v>116.0</v>
      </c>
      <c r="Q19" s="28">
        <v>70.0</v>
      </c>
      <c r="R19" s="25">
        <f t="shared" ref="R19:R21" si="21">(J19*O19)+(L19*Q19)</f>
        <v>61830.65509</v>
      </c>
      <c r="S19" s="25">
        <f t="shared" ref="S19:S21" si="22">R19*1.2</f>
        <v>74196.7861</v>
      </c>
      <c r="T19" s="29">
        <f t="shared" si="5"/>
        <v>74.1967861</v>
      </c>
    </row>
    <row r="20">
      <c r="A20" s="32"/>
      <c r="B20" s="23" t="s">
        <v>52</v>
      </c>
      <c r="C20" s="23">
        <v>1.6</v>
      </c>
      <c r="D20" s="23">
        <v>0.0</v>
      </c>
      <c r="E20" s="23">
        <v>1.6</v>
      </c>
      <c r="F20" s="23">
        <v>1.3</v>
      </c>
      <c r="G20" s="23">
        <v>0.0</v>
      </c>
      <c r="H20" s="24">
        <v>0.0</v>
      </c>
      <c r="I20" s="25">
        <f t="shared" si="1"/>
        <v>7.4</v>
      </c>
      <c r="J20" s="26">
        <f t="shared" si="20"/>
        <v>155.1364577</v>
      </c>
      <c r="K20" s="26" t="s">
        <v>51</v>
      </c>
      <c r="L20" s="26">
        <f t="shared" si="19"/>
        <v>71.712576</v>
      </c>
      <c r="M20" s="26">
        <f t="shared" si="3"/>
        <v>226.8490337</v>
      </c>
      <c r="N20" s="27">
        <v>340.0</v>
      </c>
      <c r="O20" s="27">
        <f t="shared" si="4"/>
        <v>322.974</v>
      </c>
      <c r="P20" s="28">
        <v>116.0</v>
      </c>
      <c r="Q20" s="28">
        <v>70.0</v>
      </c>
      <c r="R20" s="25">
        <f t="shared" si="21"/>
        <v>55124.92262</v>
      </c>
      <c r="S20" s="25">
        <f t="shared" si="22"/>
        <v>66149.90714</v>
      </c>
      <c r="T20" s="29">
        <f t="shared" si="5"/>
        <v>66.14990714</v>
      </c>
    </row>
    <row r="21">
      <c r="A21" s="33"/>
      <c r="B21" s="31" t="s">
        <v>53</v>
      </c>
      <c r="C21" s="31">
        <v>1.5</v>
      </c>
      <c r="D21" s="31">
        <v>0.0</v>
      </c>
      <c r="E21" s="31">
        <v>1.5</v>
      </c>
      <c r="F21" s="31">
        <v>1.4</v>
      </c>
      <c r="G21" s="31">
        <v>0.0</v>
      </c>
      <c r="H21" s="24">
        <v>0.0</v>
      </c>
      <c r="I21" s="25">
        <f t="shared" si="1"/>
        <v>7.3</v>
      </c>
      <c r="J21" s="26">
        <f t="shared" si="20"/>
        <v>136.3504023</v>
      </c>
      <c r="K21" s="26" t="s">
        <v>51</v>
      </c>
      <c r="L21" s="26">
        <f t="shared" si="19"/>
        <v>74.696832</v>
      </c>
      <c r="M21" s="26">
        <f t="shared" si="3"/>
        <v>211.0472343</v>
      </c>
      <c r="N21" s="27">
        <v>340.0</v>
      </c>
      <c r="O21" s="27">
        <f t="shared" si="4"/>
        <v>322.974</v>
      </c>
      <c r="P21" s="28">
        <v>116.0</v>
      </c>
      <c r="Q21" s="28">
        <v>70.0</v>
      </c>
      <c r="R21" s="25">
        <f t="shared" si="21"/>
        <v>49266.41307</v>
      </c>
      <c r="S21" s="25">
        <f t="shared" si="22"/>
        <v>59119.69569</v>
      </c>
      <c r="T21" s="29">
        <f t="shared" si="5"/>
        <v>59.11969569</v>
      </c>
    </row>
    <row r="22">
      <c r="A22" s="22" t="s">
        <v>58</v>
      </c>
      <c r="B22" s="23" t="s">
        <v>49</v>
      </c>
      <c r="C22" s="23">
        <v>2.12</v>
      </c>
      <c r="D22" s="23">
        <v>1.7</v>
      </c>
      <c r="E22" s="23">
        <v>2.12</v>
      </c>
      <c r="F22" s="23">
        <v>1.2</v>
      </c>
      <c r="G22" s="23">
        <v>1.2</v>
      </c>
      <c r="H22" s="24">
        <v>0.0</v>
      </c>
      <c r="I22" s="25">
        <f t="shared" si="1"/>
        <v>8.76</v>
      </c>
      <c r="J22" s="26">
        <f>(C22*C22*0.785*7*1.02*2.703*3)+(D22*D22*0.785*7*1.02*2.703)</f>
        <v>248.0547119</v>
      </c>
      <c r="K22" s="26">
        <f>(E22*E22*0.785*7*1.02*2.703)</f>
        <v>68.0903609</v>
      </c>
      <c r="L22" s="26">
        <f t="shared" si="19"/>
        <v>104.8287744</v>
      </c>
      <c r="M22" s="26">
        <f t="shared" si="3"/>
        <v>352.8834863</v>
      </c>
      <c r="N22" s="27">
        <v>340.0</v>
      </c>
      <c r="O22" s="27">
        <f t="shared" si="4"/>
        <v>322.974</v>
      </c>
      <c r="P22" s="28">
        <v>116.0</v>
      </c>
      <c r="Q22" s="28">
        <v>70.0</v>
      </c>
      <c r="R22" s="25">
        <f>(J22*O22)+(K22*N22)+(L22*P22)</f>
        <v>115426.0831</v>
      </c>
      <c r="S22" s="25">
        <f>R22*1.15</f>
        <v>132739.9955</v>
      </c>
      <c r="T22" s="29">
        <f t="shared" si="5"/>
        <v>132.7399955</v>
      </c>
    </row>
    <row r="23">
      <c r="A23" s="30"/>
      <c r="B23" s="31" t="s">
        <v>50</v>
      </c>
      <c r="C23" s="31">
        <v>1.7</v>
      </c>
      <c r="D23" s="31">
        <v>1.5</v>
      </c>
      <c r="E23" s="31">
        <v>1.7</v>
      </c>
      <c r="F23" s="31">
        <v>1.3</v>
      </c>
      <c r="G23" s="31">
        <v>1.3</v>
      </c>
      <c r="H23" s="24">
        <v>0.0</v>
      </c>
      <c r="I23" s="25">
        <f t="shared" si="1"/>
        <v>7.7</v>
      </c>
      <c r="J23" s="26">
        <f t="shared" ref="J23:J25" si="23">(C23*C23*0.785*7*1.02*2.703*3)+(D23*D23*0.785*7*1.02*2.703)+(E23*E23*0.785*7*1.02*2.703)</f>
        <v>209.2221173</v>
      </c>
      <c r="K23" s="26" t="s">
        <v>51</v>
      </c>
      <c r="L23" s="26">
        <f t="shared" si="19"/>
        <v>97.968</v>
      </c>
      <c r="M23" s="26">
        <f t="shared" si="3"/>
        <v>307.1901173</v>
      </c>
      <c r="N23" s="27">
        <v>340.0</v>
      </c>
      <c r="O23" s="27">
        <f t="shared" si="4"/>
        <v>322.974</v>
      </c>
      <c r="P23" s="28">
        <v>116.0</v>
      </c>
      <c r="Q23" s="28">
        <v>70.0</v>
      </c>
      <c r="R23" s="25">
        <f t="shared" ref="R23:R25" si="24">(J23*O23)+(L23*Q23)</f>
        <v>74431.06412</v>
      </c>
      <c r="S23" s="25">
        <f t="shared" ref="S23:S25" si="25">R23*1.2</f>
        <v>89317.27694</v>
      </c>
      <c r="T23" s="29">
        <f t="shared" si="5"/>
        <v>89.31727694</v>
      </c>
    </row>
    <row r="24">
      <c r="A24" s="32"/>
      <c r="B24" s="23" t="s">
        <v>52</v>
      </c>
      <c r="C24" s="23">
        <v>1.6</v>
      </c>
      <c r="D24" s="23">
        <v>1.4</v>
      </c>
      <c r="E24" s="23">
        <v>1.6</v>
      </c>
      <c r="F24" s="23">
        <v>1.3</v>
      </c>
      <c r="G24" s="23">
        <v>1.3</v>
      </c>
      <c r="H24" s="24">
        <v>0.0</v>
      </c>
      <c r="I24" s="25">
        <f t="shared" si="1"/>
        <v>7.4</v>
      </c>
      <c r="J24" s="26">
        <f t="shared" si="23"/>
        <v>184.8305453</v>
      </c>
      <c r="K24" s="26" t="s">
        <v>51</v>
      </c>
      <c r="L24" s="26">
        <f t="shared" si="19"/>
        <v>93.265536</v>
      </c>
      <c r="M24" s="26">
        <f t="shared" si="3"/>
        <v>278.0960813</v>
      </c>
      <c r="N24" s="27">
        <v>340.0</v>
      </c>
      <c r="O24" s="27">
        <f t="shared" si="4"/>
        <v>322.974</v>
      </c>
      <c r="P24" s="28">
        <v>116.0</v>
      </c>
      <c r="Q24" s="28">
        <v>70.0</v>
      </c>
      <c r="R24" s="25">
        <f t="shared" si="24"/>
        <v>66224.04807</v>
      </c>
      <c r="S24" s="25">
        <f t="shared" si="25"/>
        <v>79468.85768</v>
      </c>
      <c r="T24" s="29">
        <f t="shared" si="5"/>
        <v>79.46885768</v>
      </c>
    </row>
    <row r="25">
      <c r="A25" s="33"/>
      <c r="B25" s="31" t="s">
        <v>53</v>
      </c>
      <c r="C25" s="31">
        <v>1.5</v>
      </c>
      <c r="D25" s="31">
        <v>1.32</v>
      </c>
      <c r="E25" s="31">
        <v>1.5</v>
      </c>
      <c r="F25" s="31">
        <v>1.4</v>
      </c>
      <c r="G25" s="31">
        <v>1.4</v>
      </c>
      <c r="H25" s="24">
        <v>0.0</v>
      </c>
      <c r="I25" s="25">
        <f t="shared" si="1"/>
        <v>7.3</v>
      </c>
      <c r="J25" s="26">
        <f t="shared" si="23"/>
        <v>162.7478402</v>
      </c>
      <c r="K25" s="26" t="s">
        <v>51</v>
      </c>
      <c r="L25" s="26">
        <f t="shared" si="19"/>
        <v>97.3168896</v>
      </c>
      <c r="M25" s="26">
        <f t="shared" si="3"/>
        <v>260.0647298</v>
      </c>
      <c r="N25" s="27">
        <v>340.0</v>
      </c>
      <c r="O25" s="27">
        <f t="shared" si="4"/>
        <v>322.974</v>
      </c>
      <c r="P25" s="28">
        <v>116.0</v>
      </c>
      <c r="Q25" s="28">
        <v>70.0</v>
      </c>
      <c r="R25" s="25">
        <f t="shared" si="24"/>
        <v>59375.50321</v>
      </c>
      <c r="S25" s="25">
        <f t="shared" si="25"/>
        <v>71250.60385</v>
      </c>
      <c r="T25" s="29">
        <f t="shared" si="5"/>
        <v>71.25060385</v>
      </c>
    </row>
    <row r="26">
      <c r="A26" s="22" t="s">
        <v>59</v>
      </c>
      <c r="B26" s="23" t="s">
        <v>49</v>
      </c>
      <c r="C26" s="23">
        <v>2.52</v>
      </c>
      <c r="D26" s="23">
        <v>0.0</v>
      </c>
      <c r="E26" s="23">
        <v>2.12</v>
      </c>
      <c r="F26" s="23">
        <v>1.2</v>
      </c>
      <c r="G26" s="23">
        <v>0.0</v>
      </c>
      <c r="H26" s="24">
        <v>0.0</v>
      </c>
      <c r="I26" s="25">
        <f t="shared" si="1"/>
        <v>9.96</v>
      </c>
      <c r="J26" s="26">
        <f>(C26*C26*0.785*7*1.02*2.703*3)+(D26*D26*0.785*7*1.02*2.703)</f>
        <v>288.6265316</v>
      </c>
      <c r="K26" s="26">
        <f>(E26*E26*0.785*7*1.02*2.703)</f>
        <v>68.0903609</v>
      </c>
      <c r="L26" s="26">
        <f t="shared" si="19"/>
        <v>95.0621184</v>
      </c>
      <c r="M26" s="26">
        <f t="shared" si="3"/>
        <v>383.68865</v>
      </c>
      <c r="N26" s="27">
        <v>340.0</v>
      </c>
      <c r="O26" s="27">
        <f t="shared" si="4"/>
        <v>322.974</v>
      </c>
      <c r="P26" s="28">
        <v>116.0</v>
      </c>
      <c r="Q26" s="28">
        <v>70.0</v>
      </c>
      <c r="R26" s="25">
        <f>(J26*O26)+(K26*N26)+(L26*P26)</f>
        <v>127396.7939</v>
      </c>
      <c r="S26" s="25">
        <f>R26*1.15</f>
        <v>146506.3129</v>
      </c>
      <c r="T26" s="29">
        <f t="shared" si="5"/>
        <v>146.5063129</v>
      </c>
    </row>
    <row r="27">
      <c r="A27" s="30"/>
      <c r="B27" s="31" t="s">
        <v>50</v>
      </c>
      <c r="C27" s="31">
        <v>2.08</v>
      </c>
      <c r="D27" s="31">
        <v>0.0</v>
      </c>
      <c r="E27" s="31">
        <v>1.7</v>
      </c>
      <c r="F27" s="31">
        <v>1.3</v>
      </c>
      <c r="G27" s="31">
        <v>0.0</v>
      </c>
      <c r="H27" s="24">
        <v>0.0</v>
      </c>
      <c r="I27" s="25">
        <f t="shared" si="1"/>
        <v>8.84</v>
      </c>
      <c r="J27" s="26">
        <f t="shared" ref="J27:J29" si="26">(C27*C27*0.785*7*1.02*2.703*3)+(D27*D27*0.785*7*1.02*2.703)+(E27*E27*0.785*7*1.02*2.703)</f>
        <v>240.4190894</v>
      </c>
      <c r="K27" s="26" t="s">
        <v>51</v>
      </c>
      <c r="L27" s="26">
        <f t="shared" si="19"/>
        <v>88.6414464</v>
      </c>
      <c r="M27" s="26">
        <f t="shared" si="3"/>
        <v>329.0605358</v>
      </c>
      <c r="N27" s="27">
        <v>340.0</v>
      </c>
      <c r="O27" s="27">
        <f t="shared" si="4"/>
        <v>322.974</v>
      </c>
      <c r="P27" s="28">
        <v>116.0</v>
      </c>
      <c r="Q27" s="28">
        <v>70.0</v>
      </c>
      <c r="R27" s="25">
        <f t="shared" ref="R27:R29" si="27">(J27*O27)+(L27*Q27)</f>
        <v>83854.01621</v>
      </c>
      <c r="S27" s="25">
        <f t="shared" ref="S27:S29" si="28">R27*1.2</f>
        <v>100624.8195</v>
      </c>
      <c r="T27" s="29">
        <f t="shared" si="5"/>
        <v>100.6248195</v>
      </c>
    </row>
    <row r="28">
      <c r="A28" s="32"/>
      <c r="B28" s="23" t="s">
        <v>52</v>
      </c>
      <c r="C28" s="23">
        <v>1.9</v>
      </c>
      <c r="D28" s="23">
        <v>0.0</v>
      </c>
      <c r="E28" s="23">
        <v>1.6</v>
      </c>
      <c r="F28" s="23">
        <v>1.3</v>
      </c>
      <c r="G28" s="23">
        <v>0.0</v>
      </c>
      <c r="H28" s="24">
        <v>0.0</v>
      </c>
      <c r="I28" s="25">
        <f t="shared" si="1"/>
        <v>8.3</v>
      </c>
      <c r="J28" s="26">
        <f t="shared" si="26"/>
        <v>202.8590985</v>
      </c>
      <c r="K28" s="26" t="s">
        <v>51</v>
      </c>
      <c r="L28" s="26">
        <f t="shared" si="19"/>
        <v>82.29312</v>
      </c>
      <c r="M28" s="26">
        <f t="shared" si="3"/>
        <v>285.1522185</v>
      </c>
      <c r="N28" s="27">
        <v>340.0</v>
      </c>
      <c r="O28" s="27">
        <f t="shared" si="4"/>
        <v>322.974</v>
      </c>
      <c r="P28" s="28">
        <v>116.0</v>
      </c>
      <c r="Q28" s="28">
        <v>70.0</v>
      </c>
      <c r="R28" s="25">
        <f t="shared" si="27"/>
        <v>71278.73289</v>
      </c>
      <c r="S28" s="25">
        <f t="shared" si="28"/>
        <v>85534.47947</v>
      </c>
      <c r="T28" s="29">
        <f t="shared" si="5"/>
        <v>85.53447947</v>
      </c>
    </row>
    <row r="29">
      <c r="A29" s="33"/>
      <c r="B29" s="31" t="s">
        <v>53</v>
      </c>
      <c r="C29" s="31">
        <v>1.85</v>
      </c>
      <c r="D29" s="31">
        <v>0.0</v>
      </c>
      <c r="E29" s="31">
        <v>1.5</v>
      </c>
      <c r="F29" s="31">
        <v>1.4</v>
      </c>
      <c r="G29" s="31">
        <v>0.0</v>
      </c>
      <c r="H29" s="24">
        <v>0.0</v>
      </c>
      <c r="I29" s="25">
        <f t="shared" si="1"/>
        <v>8.35</v>
      </c>
      <c r="J29" s="26">
        <f t="shared" si="26"/>
        <v>189.6406845</v>
      </c>
      <c r="K29" s="26" t="s">
        <v>51</v>
      </c>
      <c r="L29" s="26">
        <f t="shared" si="19"/>
        <v>87.990336</v>
      </c>
      <c r="M29" s="26">
        <f t="shared" si="3"/>
        <v>277.6310205</v>
      </c>
      <c r="N29" s="27">
        <v>340.0</v>
      </c>
      <c r="O29" s="27">
        <f t="shared" si="4"/>
        <v>322.974</v>
      </c>
      <c r="P29" s="28">
        <v>116.0</v>
      </c>
      <c r="Q29" s="28">
        <v>70.0</v>
      </c>
      <c r="R29" s="25">
        <f t="shared" si="27"/>
        <v>67408.33397</v>
      </c>
      <c r="S29" s="25">
        <f t="shared" si="28"/>
        <v>80890.00076</v>
      </c>
      <c r="T29" s="29">
        <f t="shared" si="5"/>
        <v>80.89000076</v>
      </c>
    </row>
    <row r="30">
      <c r="A30" s="22" t="s">
        <v>60</v>
      </c>
      <c r="B30" s="23" t="s">
        <v>49</v>
      </c>
      <c r="C30" s="23">
        <v>2.52</v>
      </c>
      <c r="D30" s="23">
        <v>1.7</v>
      </c>
      <c r="E30" s="23">
        <v>2.12</v>
      </c>
      <c r="F30" s="23">
        <v>1.2</v>
      </c>
      <c r="G30" s="23">
        <v>1.2</v>
      </c>
      <c r="H30" s="24">
        <v>0.0</v>
      </c>
      <c r="I30" s="25">
        <f t="shared" si="1"/>
        <v>9.96</v>
      </c>
      <c r="J30" s="26">
        <f>(C30*C30*0.785*7*1.02*2.703*3)+(D30*D30*0.785*7*1.02*2.703)</f>
        <v>332.4101608</v>
      </c>
      <c r="K30" s="26">
        <f>(E30*E30*0.785*7*1.02*2.703)</f>
        <v>68.0903609</v>
      </c>
      <c r="L30" s="26">
        <f t="shared" si="19"/>
        <v>117.8509824</v>
      </c>
      <c r="M30" s="26">
        <f t="shared" si="3"/>
        <v>450.2611432</v>
      </c>
      <c r="N30" s="27">
        <v>340.0</v>
      </c>
      <c r="O30" s="27">
        <f t="shared" si="4"/>
        <v>322.974</v>
      </c>
      <c r="P30" s="28">
        <v>116.0</v>
      </c>
      <c r="Q30" s="28">
        <v>70.0</v>
      </c>
      <c r="R30" s="25">
        <f>(J30*O30)+(K30*N30)+(L30*P30)</f>
        <v>144181.2759</v>
      </c>
      <c r="S30" s="25">
        <f>R30*1.15</f>
        <v>165808.4673</v>
      </c>
      <c r="T30" s="29">
        <f t="shared" si="5"/>
        <v>165.8084673</v>
      </c>
    </row>
    <row r="31">
      <c r="A31" s="30"/>
      <c r="B31" s="31" t="s">
        <v>50</v>
      </c>
      <c r="C31" s="31">
        <v>2.08</v>
      </c>
      <c r="D31" s="31">
        <v>1.5</v>
      </c>
      <c r="E31" s="31">
        <v>1.7</v>
      </c>
      <c r="F31" s="31">
        <v>1.3</v>
      </c>
      <c r="G31" s="31">
        <v>1.3</v>
      </c>
      <c r="H31" s="24">
        <v>0.0</v>
      </c>
      <c r="I31" s="25">
        <f t="shared" si="1"/>
        <v>8.84</v>
      </c>
      <c r="J31" s="26">
        <f t="shared" ref="J31:J33" si="29">(C31*C31*0.785*7*1.02*2.703*3)+(D31*D31*0.785*7*1.02*2.703)+(E31*E31*0.785*7*1.02*2.703)</f>
        <v>274.5066899</v>
      </c>
      <c r="K31" s="26" t="s">
        <v>51</v>
      </c>
      <c r="L31" s="26">
        <f t="shared" si="19"/>
        <v>111.3700224</v>
      </c>
      <c r="M31" s="26">
        <f t="shared" si="3"/>
        <v>385.8767123</v>
      </c>
      <c r="N31" s="27">
        <v>340.0</v>
      </c>
      <c r="O31" s="27">
        <f t="shared" si="4"/>
        <v>322.974</v>
      </c>
      <c r="P31" s="28">
        <v>116.0</v>
      </c>
      <c r="Q31" s="28">
        <v>70.0</v>
      </c>
      <c r="R31" s="25">
        <f t="shared" ref="R31:R33" si="30">(J31*O31)+(L31*Q31)</f>
        <v>96454.42524</v>
      </c>
      <c r="S31" s="25">
        <f t="shared" ref="S31:S33" si="31">R31*1.2</f>
        <v>115745.3103</v>
      </c>
      <c r="T31" s="29">
        <f t="shared" si="5"/>
        <v>115.7453103</v>
      </c>
    </row>
    <row r="32">
      <c r="A32" s="32"/>
      <c r="B32" s="23" t="s">
        <v>52</v>
      </c>
      <c r="C32" s="23">
        <v>1.9</v>
      </c>
      <c r="D32" s="23">
        <v>1.4</v>
      </c>
      <c r="E32" s="23">
        <v>1.6</v>
      </c>
      <c r="F32" s="23">
        <v>1.3</v>
      </c>
      <c r="G32" s="23">
        <v>1.3</v>
      </c>
      <c r="H32" s="24">
        <v>0.0</v>
      </c>
      <c r="I32" s="25">
        <f t="shared" si="1"/>
        <v>8.3</v>
      </c>
      <c r="J32" s="26">
        <f t="shared" si="29"/>
        <v>232.5531861</v>
      </c>
      <c r="K32" s="26" t="s">
        <v>51</v>
      </c>
      <c r="L32" s="26">
        <f t="shared" si="19"/>
        <v>103.84608</v>
      </c>
      <c r="M32" s="26">
        <f t="shared" si="3"/>
        <v>336.3992661</v>
      </c>
      <c r="N32" s="27">
        <v>340.0</v>
      </c>
      <c r="O32" s="27">
        <f t="shared" si="4"/>
        <v>322.974</v>
      </c>
      <c r="P32" s="28">
        <v>116.0</v>
      </c>
      <c r="Q32" s="28">
        <v>70.0</v>
      </c>
      <c r="R32" s="25">
        <f t="shared" si="30"/>
        <v>82377.85834</v>
      </c>
      <c r="S32" s="25">
        <f t="shared" si="31"/>
        <v>98853.43001</v>
      </c>
      <c r="T32" s="29">
        <f t="shared" si="5"/>
        <v>98.85343001</v>
      </c>
    </row>
    <row r="33">
      <c r="A33" s="33"/>
      <c r="B33" s="31" t="s">
        <v>53</v>
      </c>
      <c r="C33" s="31">
        <v>1.85</v>
      </c>
      <c r="D33" s="31">
        <v>1.32</v>
      </c>
      <c r="E33" s="31">
        <v>1.5</v>
      </c>
      <c r="F33" s="31">
        <v>1.4</v>
      </c>
      <c r="G33" s="31">
        <v>1.4</v>
      </c>
      <c r="H33" s="24">
        <v>0.0</v>
      </c>
      <c r="I33" s="25">
        <f t="shared" si="1"/>
        <v>8.35</v>
      </c>
      <c r="J33" s="26">
        <f t="shared" si="29"/>
        <v>216.0381224</v>
      </c>
      <c r="K33" s="26" t="s">
        <v>51</v>
      </c>
      <c r="L33" s="26">
        <f t="shared" si="19"/>
        <v>110.6103936</v>
      </c>
      <c r="M33" s="26">
        <f t="shared" si="3"/>
        <v>326.648516</v>
      </c>
      <c r="N33" s="27">
        <v>340.0</v>
      </c>
      <c r="O33" s="27">
        <f t="shared" si="4"/>
        <v>322.974</v>
      </c>
      <c r="P33" s="28">
        <v>116.0</v>
      </c>
      <c r="Q33" s="28">
        <v>70.0</v>
      </c>
      <c r="R33" s="25">
        <f t="shared" si="30"/>
        <v>77517.4241</v>
      </c>
      <c r="S33" s="25">
        <f t="shared" si="31"/>
        <v>93020.90892</v>
      </c>
      <c r="T33" s="29">
        <f t="shared" si="5"/>
        <v>93.02090892</v>
      </c>
    </row>
    <row r="34" ht="18.0" customHeight="1">
      <c r="A34" s="22" t="s">
        <v>61</v>
      </c>
      <c r="B34" s="23" t="s">
        <v>49</v>
      </c>
      <c r="C34" s="23">
        <v>3.02</v>
      </c>
      <c r="D34" s="23">
        <v>0.0</v>
      </c>
      <c r="E34" s="23">
        <v>2.52</v>
      </c>
      <c r="F34" s="23">
        <v>1.2</v>
      </c>
      <c r="G34" s="23">
        <v>0.0</v>
      </c>
      <c r="H34" s="24">
        <v>0.0</v>
      </c>
      <c r="I34" s="25">
        <f t="shared" si="1"/>
        <v>11.46</v>
      </c>
      <c r="J34" s="26">
        <f>(C34*C34*0.785*7*1.02*2.703*3)+(D34*D34*0.785*7*1.02*2.703)</f>
        <v>414.523403</v>
      </c>
      <c r="K34" s="26">
        <f>(E34*E34*0.785*7*1.02*2.703)</f>
        <v>96.20884386</v>
      </c>
      <c r="L34" s="26">
        <f t="shared" si="19"/>
        <v>111.3398784</v>
      </c>
      <c r="M34" s="26">
        <f t="shared" si="3"/>
        <v>525.8632814</v>
      </c>
      <c r="N34" s="27">
        <v>340.0</v>
      </c>
      <c r="O34" s="27">
        <f t="shared" si="4"/>
        <v>322.974</v>
      </c>
      <c r="P34" s="28">
        <v>116.0</v>
      </c>
      <c r="Q34" s="28">
        <v>70.0</v>
      </c>
      <c r="R34" s="25">
        <f>(J34*O34)+(K34*N34)+(L34*P34)</f>
        <v>179506.7144</v>
      </c>
      <c r="S34" s="25">
        <f>R34*1.15</f>
        <v>206432.7215</v>
      </c>
      <c r="T34" s="29">
        <f t="shared" si="5"/>
        <v>206.4327215</v>
      </c>
    </row>
    <row r="35">
      <c r="A35" s="30"/>
      <c r="B35" s="31" t="s">
        <v>50</v>
      </c>
      <c r="C35" s="31">
        <v>2.3</v>
      </c>
      <c r="D35" s="31">
        <v>0.0</v>
      </c>
      <c r="E35" s="31">
        <v>2.08</v>
      </c>
      <c r="F35" s="31">
        <v>1.3</v>
      </c>
      <c r="G35" s="31">
        <v>0.0</v>
      </c>
      <c r="H35" s="24">
        <v>0.0</v>
      </c>
      <c r="I35" s="25">
        <f t="shared" si="1"/>
        <v>9.5</v>
      </c>
      <c r="J35" s="26">
        <f t="shared" ref="J35:J37" si="32">(C35*C35*0.785*7*1.02*2.703*3)+(D35*D35*0.785*7*1.02*2.703)+(E35*E35*0.785*7*1.02*2.703)</f>
        <v>305.9763628</v>
      </c>
      <c r="K35" s="26" t="s">
        <v>51</v>
      </c>
      <c r="L35" s="26">
        <f t="shared" si="19"/>
        <v>96.400512</v>
      </c>
      <c r="M35" s="26">
        <f t="shared" si="3"/>
        <v>402.3768748</v>
      </c>
      <c r="N35" s="27">
        <v>340.0</v>
      </c>
      <c r="O35" s="27">
        <f t="shared" si="4"/>
        <v>322.974</v>
      </c>
      <c r="P35" s="28">
        <v>116.0</v>
      </c>
      <c r="Q35" s="28">
        <v>70.0</v>
      </c>
      <c r="R35" s="25">
        <f t="shared" ref="R35:R37" si="33">(J35*O35)+(L35*Q35)</f>
        <v>105570.4456</v>
      </c>
      <c r="S35" s="25">
        <f t="shared" ref="S35:S37" si="34">R35*1.2</f>
        <v>126684.5348</v>
      </c>
      <c r="T35" s="29">
        <f t="shared" si="5"/>
        <v>126.6845348</v>
      </c>
    </row>
    <row r="36">
      <c r="A36" s="32"/>
      <c r="B36" s="23" t="s">
        <v>52</v>
      </c>
      <c r="C36" s="23">
        <v>2.2</v>
      </c>
      <c r="D36" s="23">
        <v>0.0</v>
      </c>
      <c r="E36" s="23">
        <v>1.9</v>
      </c>
      <c r="F36" s="23">
        <v>1.3</v>
      </c>
      <c r="G36" s="23">
        <v>0.0</v>
      </c>
      <c r="H36" s="24">
        <v>0.0</v>
      </c>
      <c r="I36" s="25">
        <f t="shared" si="1"/>
        <v>9.2</v>
      </c>
      <c r="J36" s="26">
        <f t="shared" si="32"/>
        <v>274.6703104</v>
      </c>
      <c r="K36" s="26" t="s">
        <v>51</v>
      </c>
      <c r="L36" s="26">
        <f t="shared" si="19"/>
        <v>92.873664</v>
      </c>
      <c r="M36" s="26">
        <f t="shared" si="3"/>
        <v>367.5439744</v>
      </c>
      <c r="N36" s="27">
        <v>340.0</v>
      </c>
      <c r="O36" s="27">
        <f t="shared" si="4"/>
        <v>322.974</v>
      </c>
      <c r="P36" s="28">
        <v>116.0</v>
      </c>
      <c r="Q36" s="28">
        <v>70.0</v>
      </c>
      <c r="R36" s="25">
        <f t="shared" si="33"/>
        <v>95212.52531</v>
      </c>
      <c r="S36" s="25">
        <f t="shared" si="34"/>
        <v>114255.0304</v>
      </c>
      <c r="T36" s="29">
        <f t="shared" si="5"/>
        <v>114.2550304</v>
      </c>
    </row>
    <row r="37">
      <c r="A37" s="33"/>
      <c r="B37" s="31" t="s">
        <v>53</v>
      </c>
      <c r="C37" s="31">
        <v>2.1</v>
      </c>
      <c r="D37" s="31">
        <v>0.0</v>
      </c>
      <c r="E37" s="31">
        <v>1.85</v>
      </c>
      <c r="F37" s="31">
        <v>1.4</v>
      </c>
      <c r="G37" s="31">
        <v>0.0</v>
      </c>
      <c r="H37" s="24">
        <v>0.0</v>
      </c>
      <c r="I37" s="25">
        <f t="shared" si="1"/>
        <v>9.1</v>
      </c>
      <c r="J37" s="26">
        <f t="shared" si="32"/>
        <v>252.2861194</v>
      </c>
      <c r="K37" s="26" t="s">
        <v>51</v>
      </c>
      <c r="L37" s="26">
        <f t="shared" si="19"/>
        <v>97.485696</v>
      </c>
      <c r="M37" s="26">
        <f t="shared" si="3"/>
        <v>349.7718154</v>
      </c>
      <c r="N37" s="27">
        <v>340.0</v>
      </c>
      <c r="O37" s="27">
        <f t="shared" si="4"/>
        <v>322.974</v>
      </c>
      <c r="P37" s="28">
        <v>116.0</v>
      </c>
      <c r="Q37" s="28">
        <v>70.0</v>
      </c>
      <c r="R37" s="25">
        <f t="shared" si="33"/>
        <v>88305.85584</v>
      </c>
      <c r="S37" s="25">
        <f t="shared" si="34"/>
        <v>105967.027</v>
      </c>
      <c r="T37" s="29">
        <f t="shared" si="5"/>
        <v>105.967027</v>
      </c>
    </row>
    <row r="38">
      <c r="A38" s="22" t="s">
        <v>62</v>
      </c>
      <c r="B38" s="23" t="s">
        <v>49</v>
      </c>
      <c r="C38" s="23">
        <v>3.02</v>
      </c>
      <c r="D38" s="23">
        <v>1.7</v>
      </c>
      <c r="E38" s="23">
        <v>2.52</v>
      </c>
      <c r="F38" s="23">
        <v>1.2</v>
      </c>
      <c r="G38" s="23">
        <v>1.2</v>
      </c>
      <c r="H38" s="24">
        <v>0.0</v>
      </c>
      <c r="I38" s="25">
        <f t="shared" si="1"/>
        <v>11.46</v>
      </c>
      <c r="J38" s="26">
        <f>(C38*C38*0.785*7*1.02*2.703*3)+(D38*D38*0.785*7*1.02*2.703)</f>
        <v>458.3070322</v>
      </c>
      <c r="K38" s="26">
        <f>(E38*E38*0.785*7*1.02*2.703)</f>
        <v>96.20884386</v>
      </c>
      <c r="L38" s="26">
        <f t="shared" si="19"/>
        <v>134.1287424</v>
      </c>
      <c r="M38" s="26">
        <f t="shared" si="3"/>
        <v>592.4357746</v>
      </c>
      <c r="N38" s="27">
        <v>340.0</v>
      </c>
      <c r="O38" s="27">
        <f t="shared" si="4"/>
        <v>322.974</v>
      </c>
      <c r="P38" s="28">
        <v>116.0</v>
      </c>
      <c r="Q38" s="28">
        <v>70.0</v>
      </c>
      <c r="R38" s="25">
        <f>(J38*O38)+(K38*N38)+(L38*P38)</f>
        <v>196291.1965</v>
      </c>
      <c r="S38" s="25">
        <f>R38*1.15</f>
        <v>225734.8759</v>
      </c>
      <c r="T38" s="29">
        <f t="shared" si="5"/>
        <v>225.7348759</v>
      </c>
    </row>
    <row r="39">
      <c r="A39" s="30"/>
      <c r="B39" s="31" t="s">
        <v>50</v>
      </c>
      <c r="C39" s="31">
        <v>2.3</v>
      </c>
      <c r="D39" s="31">
        <v>1.5</v>
      </c>
      <c r="E39" s="31">
        <v>2.08</v>
      </c>
      <c r="F39" s="31">
        <v>1.3</v>
      </c>
      <c r="G39" s="31">
        <v>1.3</v>
      </c>
      <c r="H39" s="24">
        <v>0.0</v>
      </c>
      <c r="I39" s="25">
        <f t="shared" si="1"/>
        <v>9.5</v>
      </c>
      <c r="J39" s="26">
        <f t="shared" ref="J39:J41" si="35">(C39*C39*0.785*7*1.02*2.703*3)+(D39*D39*0.785*7*1.02*2.703)+(E39*E39*0.785*7*1.02*2.703)</f>
        <v>340.0639634</v>
      </c>
      <c r="K39" s="26" t="s">
        <v>51</v>
      </c>
      <c r="L39" s="26">
        <f t="shared" si="19"/>
        <v>119.129088</v>
      </c>
      <c r="M39" s="26">
        <f t="shared" si="3"/>
        <v>459.1930514</v>
      </c>
      <c r="N39" s="27">
        <v>340.0</v>
      </c>
      <c r="O39" s="27">
        <f t="shared" si="4"/>
        <v>322.974</v>
      </c>
      <c r="P39" s="28">
        <v>116.0</v>
      </c>
      <c r="Q39" s="28">
        <v>70.0</v>
      </c>
      <c r="R39" s="25">
        <f t="shared" ref="R39:R41" si="36">(J39*O39)+(L39*Q39)</f>
        <v>118170.8547</v>
      </c>
      <c r="S39" s="25">
        <f t="shared" ref="S39:S41" si="37">R39*1.2</f>
        <v>141805.0256</v>
      </c>
      <c r="T39" s="29">
        <f t="shared" si="5"/>
        <v>141.8050256</v>
      </c>
    </row>
    <row r="40">
      <c r="A40" s="32"/>
      <c r="B40" s="23" t="s">
        <v>52</v>
      </c>
      <c r="C40" s="23">
        <v>2.2</v>
      </c>
      <c r="D40" s="23">
        <v>1.4</v>
      </c>
      <c r="E40" s="23">
        <v>1.9</v>
      </c>
      <c r="F40" s="23">
        <v>1.3</v>
      </c>
      <c r="G40" s="23">
        <v>1.3</v>
      </c>
      <c r="H40" s="24">
        <v>0.0</v>
      </c>
      <c r="I40" s="25">
        <f t="shared" si="1"/>
        <v>9.2</v>
      </c>
      <c r="J40" s="26">
        <f t="shared" si="35"/>
        <v>304.364398</v>
      </c>
      <c r="K40" s="26" t="s">
        <v>51</v>
      </c>
      <c r="L40" s="26">
        <f t="shared" si="19"/>
        <v>114.426624</v>
      </c>
      <c r="M40" s="26">
        <f t="shared" si="3"/>
        <v>418.791022</v>
      </c>
      <c r="N40" s="27">
        <v>340.0</v>
      </c>
      <c r="O40" s="27">
        <f t="shared" si="4"/>
        <v>322.974</v>
      </c>
      <c r="P40" s="28">
        <v>116.0</v>
      </c>
      <c r="Q40" s="28">
        <v>70.0</v>
      </c>
      <c r="R40" s="25">
        <f t="shared" si="36"/>
        <v>106311.6508</v>
      </c>
      <c r="S40" s="25">
        <f t="shared" si="37"/>
        <v>127573.9809</v>
      </c>
      <c r="T40" s="29">
        <f t="shared" si="5"/>
        <v>127.5739809</v>
      </c>
    </row>
    <row r="41">
      <c r="A41" s="33"/>
      <c r="B41" s="31" t="s">
        <v>53</v>
      </c>
      <c r="C41" s="31">
        <v>2.1</v>
      </c>
      <c r="D41" s="31">
        <v>1.32</v>
      </c>
      <c r="E41" s="31">
        <v>1.85</v>
      </c>
      <c r="F41" s="31">
        <v>1.4</v>
      </c>
      <c r="G41" s="31">
        <v>1.4</v>
      </c>
      <c r="H41" s="24">
        <v>0.0</v>
      </c>
      <c r="I41" s="25">
        <f t="shared" si="1"/>
        <v>9.1</v>
      </c>
      <c r="J41" s="26">
        <f t="shared" si="35"/>
        <v>278.6835573</v>
      </c>
      <c r="K41" s="26" t="s">
        <v>51</v>
      </c>
      <c r="L41" s="26">
        <f t="shared" si="19"/>
        <v>120.1057536</v>
      </c>
      <c r="M41" s="26">
        <f t="shared" si="3"/>
        <v>398.7893109</v>
      </c>
      <c r="N41" s="27">
        <v>340.0</v>
      </c>
      <c r="O41" s="27">
        <f t="shared" si="4"/>
        <v>322.974</v>
      </c>
      <c r="P41" s="28">
        <v>116.0</v>
      </c>
      <c r="Q41" s="28">
        <v>70.0</v>
      </c>
      <c r="R41" s="25">
        <f t="shared" si="36"/>
        <v>98414.94597</v>
      </c>
      <c r="S41" s="25">
        <f t="shared" si="37"/>
        <v>118097.9352</v>
      </c>
      <c r="T41" s="29">
        <f t="shared" si="5"/>
        <v>118.0979352</v>
      </c>
    </row>
    <row r="42" ht="18.0" customHeight="1">
      <c r="A42" s="22" t="s">
        <v>63</v>
      </c>
      <c r="B42" s="23" t="s">
        <v>49</v>
      </c>
      <c r="C42" s="23">
        <v>2.12</v>
      </c>
      <c r="D42" s="23">
        <v>0.0</v>
      </c>
      <c r="E42" s="23">
        <v>3.02</v>
      </c>
      <c r="F42" s="23">
        <v>1.5</v>
      </c>
      <c r="G42" s="23">
        <v>0.0</v>
      </c>
      <c r="H42" s="24">
        <v>0.0</v>
      </c>
      <c r="I42" s="34">
        <f t="shared" ref="I42:I69" si="38">(C42*5)+(F42*2)</f>
        <v>13.6</v>
      </c>
      <c r="J42" s="35">
        <f>(C42*C42*0.785*19*1.02*2.703*3)+(D42*D42*0.785*7*1.02*2.703)</f>
        <v>554.4500816</v>
      </c>
      <c r="K42" s="35">
        <f>(E42*E42*0.785*7*1.02*2.703)</f>
        <v>138.1744677</v>
      </c>
      <c r="L42" s="35">
        <f t="shared" ref="L42:L69" si="39">(((C42*5)+F42)*F42*0.96*3.14*3)+(((D42*3)+G42)*G42*0.96*3.14)+(((E42*3)+H42)*H42*0.96*3.14)</f>
        <v>164.13408</v>
      </c>
      <c r="M42" s="26">
        <f t="shared" si="3"/>
        <v>718.5841616</v>
      </c>
      <c r="N42" s="27">
        <v>340.0</v>
      </c>
      <c r="O42" s="27">
        <f t="shared" si="4"/>
        <v>322.974</v>
      </c>
      <c r="P42" s="28">
        <v>116.0</v>
      </c>
      <c r="Q42" s="28">
        <v>70.0</v>
      </c>
      <c r="R42" s="25">
        <f>(J42*O42)+(K42*N42)+(L42*P42)</f>
        <v>245091.833</v>
      </c>
      <c r="S42" s="25">
        <f>R42*1.15</f>
        <v>281855.6079</v>
      </c>
      <c r="T42" s="29">
        <f t="shared" si="5"/>
        <v>281.8556079</v>
      </c>
    </row>
    <row r="43">
      <c r="A43" s="30"/>
      <c r="B43" s="31" t="s">
        <v>50</v>
      </c>
      <c r="C43" s="31">
        <v>1.8</v>
      </c>
      <c r="D43" s="31">
        <v>0.0</v>
      </c>
      <c r="E43" s="31">
        <v>2.3</v>
      </c>
      <c r="F43" s="31">
        <v>1.6</v>
      </c>
      <c r="G43" s="31">
        <v>0.0</v>
      </c>
      <c r="H43" s="24">
        <v>0.0</v>
      </c>
      <c r="I43" s="25">
        <f t="shared" si="38"/>
        <v>12.2</v>
      </c>
      <c r="J43" s="36">
        <f t="shared" ref="J43:J45" si="40">(C43*C43*0.785*19*1.02*2.703*3)+(D43*D43*0.785*7*1.02*2.703)+(E43*E43*0.785*7*1.02*2.703)</f>
        <v>479.8452015</v>
      </c>
      <c r="K43" s="26" t="s">
        <v>51</v>
      </c>
      <c r="L43" s="26">
        <f t="shared" si="39"/>
        <v>153.372672</v>
      </c>
      <c r="M43" s="26">
        <f t="shared" si="3"/>
        <v>633.2178735</v>
      </c>
      <c r="N43" s="27">
        <v>340.0</v>
      </c>
      <c r="O43" s="27">
        <f t="shared" si="4"/>
        <v>322.974</v>
      </c>
      <c r="P43" s="28">
        <v>116.0</v>
      </c>
      <c r="Q43" s="28">
        <v>70.0</v>
      </c>
      <c r="R43" s="25">
        <f t="shared" ref="R43:R45" si="41">(J43*O43)+(L43*Q43)</f>
        <v>165713.6111</v>
      </c>
      <c r="S43" s="25">
        <f t="shared" ref="S43:S45" si="42">R43*1.2</f>
        <v>198856.3334</v>
      </c>
      <c r="T43" s="29">
        <f t="shared" si="5"/>
        <v>198.8563334</v>
      </c>
    </row>
    <row r="44">
      <c r="A44" s="32"/>
      <c r="B44" s="23" t="s">
        <v>52</v>
      </c>
      <c r="C44" s="23">
        <v>1.6</v>
      </c>
      <c r="D44" s="23">
        <v>0.0</v>
      </c>
      <c r="E44" s="23">
        <v>2.2</v>
      </c>
      <c r="F44" s="23">
        <v>1.8</v>
      </c>
      <c r="G44" s="23">
        <v>0.0</v>
      </c>
      <c r="H44" s="24">
        <v>0.0</v>
      </c>
      <c r="I44" s="25">
        <f t="shared" si="38"/>
        <v>11.6</v>
      </c>
      <c r="J44" s="26">
        <f t="shared" si="40"/>
        <v>389.1397196</v>
      </c>
      <c r="K44" s="26" t="s">
        <v>51</v>
      </c>
      <c r="L44" s="26">
        <f t="shared" si="39"/>
        <v>159.522048</v>
      </c>
      <c r="M44" s="26">
        <f t="shared" si="3"/>
        <v>548.6617676</v>
      </c>
      <c r="N44" s="27">
        <v>340.0</v>
      </c>
      <c r="O44" s="27">
        <f t="shared" si="4"/>
        <v>322.974</v>
      </c>
      <c r="P44" s="28">
        <v>116.0</v>
      </c>
      <c r="Q44" s="28">
        <v>70.0</v>
      </c>
      <c r="R44" s="25">
        <f t="shared" si="41"/>
        <v>136848.5552</v>
      </c>
      <c r="S44" s="25">
        <f t="shared" si="42"/>
        <v>164218.2662</v>
      </c>
      <c r="T44" s="29">
        <f t="shared" si="5"/>
        <v>164.2182662</v>
      </c>
    </row>
    <row r="45">
      <c r="A45" s="33"/>
      <c r="B45" s="31" t="s">
        <v>53</v>
      </c>
      <c r="C45" s="31">
        <v>1.5</v>
      </c>
      <c r="D45" s="31">
        <v>0.0</v>
      </c>
      <c r="E45" s="31">
        <v>2.1</v>
      </c>
      <c r="F45" s="31">
        <v>1.8</v>
      </c>
      <c r="G45" s="31">
        <v>0.0</v>
      </c>
      <c r="H45" s="24">
        <v>0.0</v>
      </c>
      <c r="I45" s="25">
        <f t="shared" si="38"/>
        <v>11.1</v>
      </c>
      <c r="J45" s="26">
        <f t="shared" si="40"/>
        <v>344.382159</v>
      </c>
      <c r="K45" s="26" t="s">
        <v>51</v>
      </c>
      <c r="L45" s="26">
        <f t="shared" si="39"/>
        <v>151.383168</v>
      </c>
      <c r="M45" s="26">
        <f t="shared" si="3"/>
        <v>495.765327</v>
      </c>
      <c r="N45" s="27">
        <v>340.0</v>
      </c>
      <c r="O45" s="27">
        <f t="shared" si="4"/>
        <v>322.974</v>
      </c>
      <c r="P45" s="28">
        <v>116.0</v>
      </c>
      <c r="Q45" s="28">
        <v>70.0</v>
      </c>
      <c r="R45" s="25">
        <f t="shared" si="41"/>
        <v>121823.3052</v>
      </c>
      <c r="S45" s="25">
        <f t="shared" si="42"/>
        <v>146187.9662</v>
      </c>
      <c r="T45" s="29">
        <f t="shared" si="5"/>
        <v>146.1879662</v>
      </c>
    </row>
    <row r="46">
      <c r="A46" s="22" t="s">
        <v>64</v>
      </c>
      <c r="B46" s="23" t="s">
        <v>49</v>
      </c>
      <c r="C46" s="23">
        <v>2.12</v>
      </c>
      <c r="D46" s="23">
        <v>1.7</v>
      </c>
      <c r="E46" s="23">
        <v>3.02</v>
      </c>
      <c r="F46" s="23">
        <v>1.5</v>
      </c>
      <c r="G46" s="23">
        <v>1.2</v>
      </c>
      <c r="H46" s="24">
        <v>0.0</v>
      </c>
      <c r="I46" s="25">
        <f t="shared" si="38"/>
        <v>13.6</v>
      </c>
      <c r="J46" s="26">
        <f>(C46*C46*0.785*19*1.02*2.703*3)+(D46*D46*0.785*7*1.02*2.703)</f>
        <v>598.2337108</v>
      </c>
      <c r="K46" s="26">
        <f>(E46*E46*0.785*7*1.02*2.703)</f>
        <v>138.1744677</v>
      </c>
      <c r="L46" s="26">
        <f t="shared" si="39"/>
        <v>186.922944</v>
      </c>
      <c r="M46" s="26">
        <f t="shared" si="3"/>
        <v>785.1566548</v>
      </c>
      <c r="N46" s="27">
        <v>340.0</v>
      </c>
      <c r="O46" s="27">
        <f t="shared" si="4"/>
        <v>322.974</v>
      </c>
      <c r="P46" s="28">
        <v>116.0</v>
      </c>
      <c r="Q46" s="28">
        <v>70.0</v>
      </c>
      <c r="R46" s="25">
        <f>(J46*O46)+(K46*N46)+(L46*P46)</f>
        <v>261876.315</v>
      </c>
      <c r="S46" s="25">
        <f>R46*1.15</f>
        <v>301157.7623</v>
      </c>
      <c r="T46" s="29">
        <f t="shared" si="5"/>
        <v>301.1577623</v>
      </c>
    </row>
    <row r="47">
      <c r="A47" s="30"/>
      <c r="B47" s="31" t="s">
        <v>50</v>
      </c>
      <c r="C47" s="31">
        <v>1.8</v>
      </c>
      <c r="D47" s="31">
        <v>1.5</v>
      </c>
      <c r="E47" s="31">
        <v>2.3</v>
      </c>
      <c r="F47" s="31">
        <v>1.6</v>
      </c>
      <c r="G47" s="31">
        <v>1.3</v>
      </c>
      <c r="H47" s="24">
        <v>0.0</v>
      </c>
      <c r="I47" s="25">
        <f t="shared" si="38"/>
        <v>12.2</v>
      </c>
      <c r="J47" s="26">
        <f t="shared" ref="J47:J49" si="43">(C47*C47*0.785*19*1.02*2.703*3)+(D47*D47*0.785*7*1.02*2.703)+(E47*E47*0.785*7*1.02*2.703)</f>
        <v>513.9328021</v>
      </c>
      <c r="K47" s="26" t="s">
        <v>51</v>
      </c>
      <c r="L47" s="26">
        <f t="shared" si="39"/>
        <v>176.101248</v>
      </c>
      <c r="M47" s="26">
        <f t="shared" si="3"/>
        <v>690.0340501</v>
      </c>
      <c r="N47" s="27">
        <v>340.0</v>
      </c>
      <c r="O47" s="27">
        <f t="shared" si="4"/>
        <v>322.974</v>
      </c>
      <c r="P47" s="28">
        <v>116.0</v>
      </c>
      <c r="Q47" s="28">
        <v>70.0</v>
      </c>
      <c r="R47" s="25">
        <f t="shared" ref="R47:R49" si="44">(J47*O47)+(L47*Q47)</f>
        <v>178314.0202</v>
      </c>
      <c r="S47" s="25">
        <f t="shared" ref="S47:S49" si="45">R47*1.2</f>
        <v>213976.8242</v>
      </c>
      <c r="T47" s="29">
        <f t="shared" si="5"/>
        <v>213.9768242</v>
      </c>
    </row>
    <row r="48">
      <c r="A48" s="32"/>
      <c r="B48" s="23" t="s">
        <v>52</v>
      </c>
      <c r="C48" s="23">
        <v>1.6</v>
      </c>
      <c r="D48" s="23">
        <v>1.4</v>
      </c>
      <c r="E48" s="23">
        <v>2.2</v>
      </c>
      <c r="F48" s="23">
        <v>1.8</v>
      </c>
      <c r="G48" s="23">
        <v>1.3</v>
      </c>
      <c r="H48" s="24">
        <v>0.0</v>
      </c>
      <c r="I48" s="25">
        <f t="shared" si="38"/>
        <v>11.6</v>
      </c>
      <c r="J48" s="26">
        <f t="shared" si="43"/>
        <v>418.8338072</v>
      </c>
      <c r="K48" s="26" t="s">
        <v>51</v>
      </c>
      <c r="L48" s="26">
        <f t="shared" si="39"/>
        <v>181.075008</v>
      </c>
      <c r="M48" s="26">
        <f t="shared" si="3"/>
        <v>599.9088152</v>
      </c>
      <c r="N48" s="27">
        <v>340.0</v>
      </c>
      <c r="O48" s="27">
        <f t="shared" si="4"/>
        <v>322.974</v>
      </c>
      <c r="P48" s="28">
        <v>116.0</v>
      </c>
      <c r="Q48" s="28">
        <v>70.0</v>
      </c>
      <c r="R48" s="25">
        <f t="shared" si="44"/>
        <v>147947.6806</v>
      </c>
      <c r="S48" s="25">
        <f t="shared" si="45"/>
        <v>177537.2167</v>
      </c>
      <c r="T48" s="29">
        <f t="shared" si="5"/>
        <v>177.5372167</v>
      </c>
    </row>
    <row r="49">
      <c r="A49" s="33"/>
      <c r="B49" s="31" t="s">
        <v>53</v>
      </c>
      <c r="C49" s="31">
        <v>1.5</v>
      </c>
      <c r="D49" s="31">
        <v>1.32</v>
      </c>
      <c r="E49" s="31">
        <v>2.1</v>
      </c>
      <c r="F49" s="31">
        <v>1.8</v>
      </c>
      <c r="G49" s="31">
        <v>1.4</v>
      </c>
      <c r="H49" s="24">
        <v>0.0</v>
      </c>
      <c r="I49" s="25">
        <f t="shared" si="38"/>
        <v>11.1</v>
      </c>
      <c r="J49" s="26">
        <f t="shared" si="43"/>
        <v>370.7795968</v>
      </c>
      <c r="K49" s="26" t="s">
        <v>51</v>
      </c>
      <c r="L49" s="26">
        <f t="shared" si="39"/>
        <v>174.0032256</v>
      </c>
      <c r="M49" s="26">
        <f t="shared" si="3"/>
        <v>544.7828224</v>
      </c>
      <c r="N49" s="27">
        <v>340.0</v>
      </c>
      <c r="O49" s="27">
        <f t="shared" si="4"/>
        <v>322.974</v>
      </c>
      <c r="P49" s="28">
        <v>116.0</v>
      </c>
      <c r="Q49" s="28">
        <v>70.0</v>
      </c>
      <c r="R49" s="25">
        <f t="shared" si="44"/>
        <v>131932.3953</v>
      </c>
      <c r="S49" s="25">
        <f t="shared" si="45"/>
        <v>158318.8744</v>
      </c>
      <c r="T49" s="29">
        <f t="shared" si="5"/>
        <v>158.3188744</v>
      </c>
    </row>
    <row r="50" ht="18.0" customHeight="1">
      <c r="A50" s="22" t="s">
        <v>65</v>
      </c>
      <c r="B50" s="23" t="s">
        <v>49</v>
      </c>
      <c r="C50" s="23">
        <v>2.52</v>
      </c>
      <c r="D50" s="23">
        <v>0.0</v>
      </c>
      <c r="E50" s="23">
        <v>3.02</v>
      </c>
      <c r="F50" s="23">
        <v>1.5</v>
      </c>
      <c r="G50" s="23">
        <v>0.0</v>
      </c>
      <c r="H50" s="24">
        <v>0.0</v>
      </c>
      <c r="I50" s="37">
        <f t="shared" si="38"/>
        <v>15.6</v>
      </c>
      <c r="J50" s="26">
        <f>(C50*C50*0.785*19*1.02*2.703*3)+(D50*D50*0.785*7*1.02*2.703)</f>
        <v>783.4148715</v>
      </c>
      <c r="K50" s="26">
        <f>(E50*E50*0.785*7*1.02*2.703)</f>
        <v>138.1744677</v>
      </c>
      <c r="L50" s="38">
        <f t="shared" si="39"/>
        <v>191.26368</v>
      </c>
      <c r="M50" s="26">
        <f t="shared" si="3"/>
        <v>974.6785515</v>
      </c>
      <c r="N50" s="27">
        <v>340.0</v>
      </c>
      <c r="O50" s="27">
        <f t="shared" si="4"/>
        <v>322.974</v>
      </c>
      <c r="P50" s="28">
        <v>116.0</v>
      </c>
      <c r="Q50" s="28">
        <v>70.0</v>
      </c>
      <c r="R50" s="25">
        <f>(J50*O50)+(K50*N50)+(L50*P50)</f>
        <v>322188.5406</v>
      </c>
      <c r="S50" s="25">
        <f>R50*1.15</f>
        <v>370516.8217</v>
      </c>
      <c r="T50" s="29">
        <f t="shared" si="5"/>
        <v>370.5168217</v>
      </c>
    </row>
    <row r="51">
      <c r="A51" s="30"/>
      <c r="B51" s="31" t="s">
        <v>50</v>
      </c>
      <c r="C51" s="31">
        <v>2.2</v>
      </c>
      <c r="D51" s="31">
        <v>0.0</v>
      </c>
      <c r="E51" s="31">
        <v>2.3</v>
      </c>
      <c r="F51" s="31">
        <v>1.6</v>
      </c>
      <c r="G51" s="31">
        <v>0.0</v>
      </c>
      <c r="H51" s="24">
        <v>0.0</v>
      </c>
      <c r="I51" s="25">
        <f t="shared" si="38"/>
        <v>14.2</v>
      </c>
      <c r="J51" s="36">
        <f t="shared" ref="J51:J53" si="46">(C51*C51*0.785*19*1.02*2.703*3)+(D51*D51*0.785*7*1.02*2.703)+(E51*E51*0.785*7*1.02*2.703)</f>
        <v>677.228641</v>
      </c>
      <c r="K51" s="26" t="s">
        <v>51</v>
      </c>
      <c r="L51" s="26">
        <f t="shared" si="39"/>
        <v>182.310912</v>
      </c>
      <c r="M51" s="26">
        <f t="shared" si="3"/>
        <v>859.539553</v>
      </c>
      <c r="N51" s="27">
        <v>340.0</v>
      </c>
      <c r="O51" s="27">
        <f t="shared" si="4"/>
        <v>322.974</v>
      </c>
      <c r="P51" s="28">
        <v>116.0</v>
      </c>
      <c r="Q51" s="28">
        <v>70.0</v>
      </c>
      <c r="R51" s="25">
        <f t="shared" ref="R51:R53" si="47">(J51*O51)+(L51*Q51)</f>
        <v>231489.0069</v>
      </c>
      <c r="S51" s="25">
        <f t="shared" ref="S51:S53" si="48">R51*1.2</f>
        <v>277786.8083</v>
      </c>
      <c r="T51" s="29">
        <f t="shared" si="5"/>
        <v>277.7868083</v>
      </c>
    </row>
    <row r="52">
      <c r="A52" s="32"/>
      <c r="B52" s="23" t="s">
        <v>52</v>
      </c>
      <c r="C52" s="23">
        <v>2.1</v>
      </c>
      <c r="D52" s="23">
        <v>0.0</v>
      </c>
      <c r="E52" s="23">
        <v>2.2</v>
      </c>
      <c r="F52" s="23">
        <v>1.8</v>
      </c>
      <c r="G52" s="23">
        <v>0.0</v>
      </c>
      <c r="H52" s="24">
        <v>0.0</v>
      </c>
      <c r="I52" s="25">
        <f t="shared" si="38"/>
        <v>14.1</v>
      </c>
      <c r="J52" s="26">
        <f t="shared" si="46"/>
        <v>617.3643215</v>
      </c>
      <c r="K52" s="26" t="s">
        <v>51</v>
      </c>
      <c r="L52" s="26">
        <f t="shared" si="39"/>
        <v>200.216448</v>
      </c>
      <c r="M52" s="26">
        <f t="shared" si="3"/>
        <v>817.5807695</v>
      </c>
      <c r="N52" s="27">
        <v>340.0</v>
      </c>
      <c r="O52" s="27">
        <f t="shared" si="4"/>
        <v>322.974</v>
      </c>
      <c r="P52" s="28">
        <v>116.0</v>
      </c>
      <c r="Q52" s="28">
        <v>70.0</v>
      </c>
      <c r="R52" s="25">
        <f t="shared" si="47"/>
        <v>213407.7757</v>
      </c>
      <c r="S52" s="25">
        <f t="shared" si="48"/>
        <v>256089.3309</v>
      </c>
      <c r="T52" s="29">
        <f t="shared" si="5"/>
        <v>256.0893309</v>
      </c>
    </row>
    <row r="53">
      <c r="A53" s="33"/>
      <c r="B53" s="31" t="s">
        <v>53</v>
      </c>
      <c r="C53" s="31">
        <v>2.0</v>
      </c>
      <c r="D53" s="31">
        <v>0.0</v>
      </c>
      <c r="E53" s="31">
        <v>2.1</v>
      </c>
      <c r="F53" s="31">
        <v>1.8</v>
      </c>
      <c r="G53" s="31">
        <v>0.0</v>
      </c>
      <c r="H53" s="24">
        <v>0.0</v>
      </c>
      <c r="I53" s="25">
        <f t="shared" si="38"/>
        <v>13.6</v>
      </c>
      <c r="J53" s="26">
        <f t="shared" si="46"/>
        <v>560.2702959</v>
      </c>
      <c r="K53" s="26" t="s">
        <v>51</v>
      </c>
      <c r="L53" s="26">
        <f t="shared" si="39"/>
        <v>192.077568</v>
      </c>
      <c r="M53" s="26">
        <f t="shared" si="3"/>
        <v>752.3478639</v>
      </c>
      <c r="N53" s="27">
        <v>340.0</v>
      </c>
      <c r="O53" s="27">
        <f t="shared" si="4"/>
        <v>322.974</v>
      </c>
      <c r="P53" s="28">
        <v>116.0</v>
      </c>
      <c r="Q53" s="28">
        <v>70.0</v>
      </c>
      <c r="R53" s="25">
        <f t="shared" si="47"/>
        <v>194398.1683</v>
      </c>
      <c r="S53" s="25">
        <f t="shared" si="48"/>
        <v>233277.802</v>
      </c>
      <c r="T53" s="29">
        <f t="shared" si="5"/>
        <v>233.277802</v>
      </c>
    </row>
    <row r="54">
      <c r="A54" s="22" t="s">
        <v>66</v>
      </c>
      <c r="B54" s="23" t="s">
        <v>49</v>
      </c>
      <c r="C54" s="23">
        <v>2.52</v>
      </c>
      <c r="D54" s="23">
        <v>1.7</v>
      </c>
      <c r="E54" s="23">
        <v>3.02</v>
      </c>
      <c r="F54" s="23">
        <v>1.5</v>
      </c>
      <c r="G54" s="23">
        <v>1.2</v>
      </c>
      <c r="H54" s="24">
        <v>0.0</v>
      </c>
      <c r="I54" s="25">
        <f t="shared" si="38"/>
        <v>15.6</v>
      </c>
      <c r="J54" s="26">
        <f>(C54*C54*0.785*19*1.02*2.703*3)+(D54*D54*0.785*7*1.02*2.703)</f>
        <v>827.1985006</v>
      </c>
      <c r="K54" s="26">
        <f>(E54*E54*0.785*7*1.02*2.703)</f>
        <v>138.1744677</v>
      </c>
      <c r="L54" s="26">
        <f t="shared" si="39"/>
        <v>214.052544</v>
      </c>
      <c r="M54" s="26">
        <f t="shared" si="3"/>
        <v>1041.251045</v>
      </c>
      <c r="N54" s="27">
        <v>340.0</v>
      </c>
      <c r="O54" s="27">
        <f t="shared" si="4"/>
        <v>322.974</v>
      </c>
      <c r="P54" s="28">
        <v>116.0</v>
      </c>
      <c r="Q54" s="28">
        <v>70.0</v>
      </c>
      <c r="R54" s="25">
        <f>(J54*O54)+(K54*N54)+(L54*P54)</f>
        <v>338973.0227</v>
      </c>
      <c r="S54" s="25">
        <f>R54*1.15</f>
        <v>389818.9761</v>
      </c>
      <c r="T54" s="29">
        <f t="shared" si="5"/>
        <v>389.8189761</v>
      </c>
    </row>
    <row r="55">
      <c r="A55" s="30"/>
      <c r="B55" s="31" t="s">
        <v>50</v>
      </c>
      <c r="C55" s="31">
        <v>2.2</v>
      </c>
      <c r="D55" s="31">
        <v>1.5</v>
      </c>
      <c r="E55" s="31">
        <v>2.3</v>
      </c>
      <c r="F55" s="31">
        <v>1.6</v>
      </c>
      <c r="G55" s="31">
        <v>1.3</v>
      </c>
      <c r="H55" s="24">
        <v>0.0</v>
      </c>
      <c r="I55" s="25">
        <f t="shared" si="38"/>
        <v>14.2</v>
      </c>
      <c r="J55" s="26">
        <f t="shared" ref="J55:J57" si="49">(C55*C55*0.785*19*1.02*2.703*3)+(D55*D55*0.785*7*1.02*2.703)+(E55*E55*0.785*7*1.02*2.703)</f>
        <v>711.3162416</v>
      </c>
      <c r="K55" s="26" t="s">
        <v>51</v>
      </c>
      <c r="L55" s="26">
        <f t="shared" si="39"/>
        <v>205.039488</v>
      </c>
      <c r="M55" s="26">
        <f t="shared" si="3"/>
        <v>916.3557296</v>
      </c>
      <c r="N55" s="27">
        <v>340.0</v>
      </c>
      <c r="O55" s="27">
        <f t="shared" si="4"/>
        <v>322.974</v>
      </c>
      <c r="P55" s="28">
        <v>116.0</v>
      </c>
      <c r="Q55" s="28">
        <v>70.0</v>
      </c>
      <c r="R55" s="25">
        <f t="shared" ref="R55:R57" si="50">(J55*O55)+(L55*Q55)</f>
        <v>244089.416</v>
      </c>
      <c r="S55" s="25">
        <f t="shared" ref="S55:S57" si="51">R55*1.2</f>
        <v>292907.2992</v>
      </c>
      <c r="T55" s="29">
        <f t="shared" si="5"/>
        <v>292.9072992</v>
      </c>
    </row>
    <row r="56">
      <c r="A56" s="32"/>
      <c r="B56" s="23" t="s">
        <v>52</v>
      </c>
      <c r="C56" s="23">
        <v>2.1</v>
      </c>
      <c r="D56" s="23">
        <v>1.4</v>
      </c>
      <c r="E56" s="23">
        <v>2.2</v>
      </c>
      <c r="F56" s="23">
        <v>1.8</v>
      </c>
      <c r="G56" s="23">
        <v>1.3</v>
      </c>
      <c r="H56" s="24">
        <v>0.0</v>
      </c>
      <c r="I56" s="25">
        <f t="shared" si="38"/>
        <v>14.1</v>
      </c>
      <c r="J56" s="26">
        <f t="shared" si="49"/>
        <v>647.0584091</v>
      </c>
      <c r="K56" s="26" t="s">
        <v>51</v>
      </c>
      <c r="L56" s="26">
        <f t="shared" si="39"/>
        <v>221.769408</v>
      </c>
      <c r="M56" s="26">
        <f t="shared" si="3"/>
        <v>868.8278171</v>
      </c>
      <c r="N56" s="27">
        <v>340.0</v>
      </c>
      <c r="O56" s="27">
        <f t="shared" si="4"/>
        <v>322.974</v>
      </c>
      <c r="P56" s="28">
        <v>116.0</v>
      </c>
      <c r="Q56" s="28">
        <v>70.0</v>
      </c>
      <c r="R56" s="25">
        <f t="shared" si="50"/>
        <v>224506.9012</v>
      </c>
      <c r="S56" s="25">
        <f t="shared" si="51"/>
        <v>269408.2814</v>
      </c>
      <c r="T56" s="29">
        <f t="shared" si="5"/>
        <v>269.4082814</v>
      </c>
    </row>
    <row r="57">
      <c r="A57" s="33"/>
      <c r="B57" s="31" t="s">
        <v>53</v>
      </c>
      <c r="C57" s="31">
        <v>2.0</v>
      </c>
      <c r="D57" s="31">
        <v>1.32</v>
      </c>
      <c r="E57" s="31">
        <v>2.1</v>
      </c>
      <c r="F57" s="31">
        <v>1.8</v>
      </c>
      <c r="G57" s="31">
        <v>1.4</v>
      </c>
      <c r="H57" s="24">
        <v>0.0</v>
      </c>
      <c r="I57" s="25">
        <f t="shared" si="38"/>
        <v>13.6</v>
      </c>
      <c r="J57" s="26">
        <f t="shared" si="49"/>
        <v>586.6677338</v>
      </c>
      <c r="K57" s="26" t="s">
        <v>51</v>
      </c>
      <c r="L57" s="26">
        <f t="shared" si="39"/>
        <v>214.6976256</v>
      </c>
      <c r="M57" s="26">
        <f t="shared" si="3"/>
        <v>801.3653594</v>
      </c>
      <c r="N57" s="27">
        <v>340.0</v>
      </c>
      <c r="O57" s="27">
        <f t="shared" si="4"/>
        <v>322.974</v>
      </c>
      <c r="P57" s="28">
        <v>116.0</v>
      </c>
      <c r="Q57" s="28">
        <v>70.0</v>
      </c>
      <c r="R57" s="25">
        <f t="shared" si="50"/>
        <v>204507.2585</v>
      </c>
      <c r="S57" s="25">
        <f t="shared" si="51"/>
        <v>245408.7101</v>
      </c>
      <c r="T57" s="29">
        <f t="shared" si="5"/>
        <v>245.4087101</v>
      </c>
    </row>
    <row r="58" ht="18.0" customHeight="1">
      <c r="A58" s="22" t="s">
        <v>67</v>
      </c>
      <c r="B58" s="23" t="s">
        <v>49</v>
      </c>
      <c r="C58" s="23">
        <v>2.52</v>
      </c>
      <c r="D58" s="23">
        <v>0.0</v>
      </c>
      <c r="E58" s="23">
        <v>3.56</v>
      </c>
      <c r="F58" s="23">
        <v>1.5</v>
      </c>
      <c r="G58" s="23">
        <v>0.0</v>
      </c>
      <c r="H58" s="24">
        <v>0.0</v>
      </c>
      <c r="I58" s="37">
        <f t="shared" si="38"/>
        <v>15.6</v>
      </c>
      <c r="J58" s="26">
        <f>(C58*C58*0.785*19*1.02*2.703*3)+(D58*D58*0.785*7*1.02*2.703)</f>
        <v>783.4148715</v>
      </c>
      <c r="K58" s="26">
        <f>(E58*E58*0.785*7*1.02*2.703)</f>
        <v>192.0056065</v>
      </c>
      <c r="L58" s="36">
        <f t="shared" si="39"/>
        <v>191.26368</v>
      </c>
      <c r="M58" s="26">
        <f t="shared" si="3"/>
        <v>974.6785515</v>
      </c>
      <c r="N58" s="27">
        <v>340.0</v>
      </c>
      <c r="O58" s="27">
        <f t="shared" si="4"/>
        <v>322.974</v>
      </c>
      <c r="P58" s="28">
        <v>116.0</v>
      </c>
      <c r="Q58" s="28">
        <v>70.0</v>
      </c>
      <c r="R58" s="25">
        <f>(J58*O58)+(K58*N58)+(L58*P58)</f>
        <v>340491.1278</v>
      </c>
      <c r="S58" s="25">
        <f>R58*1.15</f>
        <v>391564.797</v>
      </c>
      <c r="T58" s="29">
        <f t="shared" si="5"/>
        <v>391.564797</v>
      </c>
    </row>
    <row r="59">
      <c r="A59" s="30"/>
      <c r="B59" s="31" t="s">
        <v>50</v>
      </c>
      <c r="C59" s="31">
        <v>2.2</v>
      </c>
      <c r="D59" s="31">
        <v>0.0</v>
      </c>
      <c r="E59" s="31">
        <v>3.0</v>
      </c>
      <c r="F59" s="31">
        <v>1.6</v>
      </c>
      <c r="G59" s="31">
        <v>0.0</v>
      </c>
      <c r="H59" s="24">
        <v>0.0</v>
      </c>
      <c r="I59" s="25">
        <f t="shared" si="38"/>
        <v>14.2</v>
      </c>
      <c r="J59" s="36">
        <f t="shared" ref="J59:J61" si="52">(C59*C59*0.785*19*1.02*2.703*3)+(D59*D59*0.785*7*1.02*2.703)+(E59*E59*0.785*7*1.02*2.703)</f>
        <v>733.4353068</v>
      </c>
      <c r="K59" s="26" t="s">
        <v>51</v>
      </c>
      <c r="L59" s="26">
        <f t="shared" si="39"/>
        <v>182.310912</v>
      </c>
      <c r="M59" s="26">
        <f t="shared" si="3"/>
        <v>915.7462188</v>
      </c>
      <c r="N59" s="27">
        <v>340.0</v>
      </c>
      <c r="O59" s="27">
        <f t="shared" si="4"/>
        <v>322.974</v>
      </c>
      <c r="P59" s="28">
        <v>116.0</v>
      </c>
      <c r="Q59" s="28">
        <v>70.0</v>
      </c>
      <c r="R59" s="25">
        <f t="shared" ref="R59:R61" si="53">(J59*O59)+(L59*Q59)</f>
        <v>249642.2986</v>
      </c>
      <c r="S59" s="25">
        <f t="shared" ref="S59:S61" si="54">R59*1.2</f>
        <v>299570.7584</v>
      </c>
      <c r="T59" s="29">
        <f t="shared" si="5"/>
        <v>299.5707584</v>
      </c>
    </row>
    <row r="60">
      <c r="A60" s="32"/>
      <c r="B60" s="23" t="s">
        <v>52</v>
      </c>
      <c r="C60" s="23">
        <v>2.1</v>
      </c>
      <c r="D60" s="23">
        <v>0.0</v>
      </c>
      <c r="E60" s="23">
        <v>2.5</v>
      </c>
      <c r="F60" s="23">
        <v>1.8</v>
      </c>
      <c r="G60" s="23">
        <v>0.0</v>
      </c>
      <c r="H60" s="24">
        <v>0.0</v>
      </c>
      <c r="I60" s="25">
        <f t="shared" si="38"/>
        <v>14.1</v>
      </c>
      <c r="J60" s="26">
        <f t="shared" si="52"/>
        <v>638.7258846</v>
      </c>
      <c r="K60" s="26" t="s">
        <v>51</v>
      </c>
      <c r="L60" s="26">
        <f t="shared" si="39"/>
        <v>200.216448</v>
      </c>
      <c r="M60" s="26">
        <f t="shared" si="3"/>
        <v>838.9423326</v>
      </c>
      <c r="N60" s="27">
        <v>340.0</v>
      </c>
      <c r="O60" s="27">
        <f t="shared" si="4"/>
        <v>322.974</v>
      </c>
      <c r="P60" s="28">
        <v>116.0</v>
      </c>
      <c r="Q60" s="28">
        <v>70.0</v>
      </c>
      <c r="R60" s="25">
        <f t="shared" si="53"/>
        <v>220307.0052</v>
      </c>
      <c r="S60" s="25">
        <f t="shared" si="54"/>
        <v>264368.4062</v>
      </c>
      <c r="T60" s="29">
        <f t="shared" si="5"/>
        <v>264.3684062</v>
      </c>
    </row>
    <row r="61">
      <c r="A61" s="33"/>
      <c r="B61" s="31" t="s">
        <v>53</v>
      </c>
      <c r="C61" s="31">
        <v>2.0</v>
      </c>
      <c r="D61" s="31">
        <v>0.0</v>
      </c>
      <c r="E61" s="31">
        <v>2.2</v>
      </c>
      <c r="F61" s="31">
        <v>1.8</v>
      </c>
      <c r="G61" s="31">
        <v>0.0</v>
      </c>
      <c r="H61" s="24">
        <v>0.0</v>
      </c>
      <c r="I61" s="25">
        <f t="shared" si="38"/>
        <v>13.6</v>
      </c>
      <c r="J61" s="26">
        <f t="shared" si="52"/>
        <v>566.7848151</v>
      </c>
      <c r="K61" s="26" t="s">
        <v>51</v>
      </c>
      <c r="L61" s="26">
        <f t="shared" si="39"/>
        <v>192.077568</v>
      </c>
      <c r="M61" s="26">
        <f t="shared" si="3"/>
        <v>758.8623831</v>
      </c>
      <c r="N61" s="27">
        <v>340.0</v>
      </c>
      <c r="O61" s="27">
        <f t="shared" si="4"/>
        <v>322.974</v>
      </c>
      <c r="P61" s="28">
        <v>116.0</v>
      </c>
      <c r="Q61" s="28">
        <v>70.0</v>
      </c>
      <c r="R61" s="25">
        <f t="shared" si="53"/>
        <v>196502.1886</v>
      </c>
      <c r="S61" s="25">
        <f t="shared" si="54"/>
        <v>235802.6264</v>
      </c>
      <c r="T61" s="29">
        <f t="shared" si="5"/>
        <v>235.8026264</v>
      </c>
    </row>
    <row r="62">
      <c r="A62" s="22" t="s">
        <v>68</v>
      </c>
      <c r="B62" s="23" t="s">
        <v>49</v>
      </c>
      <c r="C62" s="23">
        <v>2.52</v>
      </c>
      <c r="D62" s="23">
        <v>1.7</v>
      </c>
      <c r="E62" s="23">
        <v>3.56</v>
      </c>
      <c r="F62" s="23">
        <v>1.5</v>
      </c>
      <c r="G62" s="23">
        <v>1.2</v>
      </c>
      <c r="H62" s="24">
        <v>0.0</v>
      </c>
      <c r="I62" s="25">
        <f t="shared" si="38"/>
        <v>15.6</v>
      </c>
      <c r="J62" s="26">
        <f>(C62*C62*0.785*19*1.02*2.703*3)+(D62*D62*0.785*7*1.02*2.703)</f>
        <v>827.1985006</v>
      </c>
      <c r="K62" s="26">
        <f>(E62*E62*0.785*7*1.02*2.703)</f>
        <v>192.0056065</v>
      </c>
      <c r="L62" s="26">
        <f t="shared" si="39"/>
        <v>214.052544</v>
      </c>
      <c r="M62" s="26">
        <f t="shared" si="3"/>
        <v>1041.251045</v>
      </c>
      <c r="N62" s="27">
        <v>340.0</v>
      </c>
      <c r="O62" s="27">
        <f t="shared" si="4"/>
        <v>322.974</v>
      </c>
      <c r="P62" s="28">
        <v>116.0</v>
      </c>
      <c r="Q62" s="28">
        <v>70.0</v>
      </c>
      <c r="R62" s="25">
        <f>(J62*O62)+(K62*N62)+(L62*P62)</f>
        <v>357275.6099</v>
      </c>
      <c r="S62" s="25">
        <f>R62*1.15</f>
        <v>410866.9513</v>
      </c>
      <c r="T62" s="29">
        <f t="shared" si="5"/>
        <v>410.8669513</v>
      </c>
    </row>
    <row r="63">
      <c r="A63" s="30"/>
      <c r="B63" s="31" t="s">
        <v>50</v>
      </c>
      <c r="C63" s="31">
        <v>2.2</v>
      </c>
      <c r="D63" s="31">
        <v>1.5</v>
      </c>
      <c r="E63" s="31">
        <v>3.0</v>
      </c>
      <c r="F63" s="31">
        <v>1.6</v>
      </c>
      <c r="G63" s="31">
        <v>1.3</v>
      </c>
      <c r="H63" s="24">
        <v>0.0</v>
      </c>
      <c r="I63" s="25">
        <f t="shared" si="38"/>
        <v>14.2</v>
      </c>
      <c r="J63" s="26">
        <f t="shared" ref="J63:J65" si="55">(C63*C63*0.785*19*1.02*2.703*3)+(D63*D63*0.785*7*1.02*2.703)+(E63*E63*0.785*7*1.02*2.703)</f>
        <v>767.5229074</v>
      </c>
      <c r="K63" s="26" t="s">
        <v>51</v>
      </c>
      <c r="L63" s="26">
        <f t="shared" si="39"/>
        <v>205.039488</v>
      </c>
      <c r="M63" s="26">
        <f t="shared" si="3"/>
        <v>972.5623954</v>
      </c>
      <c r="N63" s="27">
        <v>340.0</v>
      </c>
      <c r="O63" s="27">
        <f t="shared" si="4"/>
        <v>322.974</v>
      </c>
      <c r="P63" s="28">
        <v>116.0</v>
      </c>
      <c r="Q63" s="28">
        <v>70.0</v>
      </c>
      <c r="R63" s="25">
        <f t="shared" ref="R63:R65" si="56">(J63*O63)+(L63*Q63)</f>
        <v>262242.7077</v>
      </c>
      <c r="S63" s="25">
        <f t="shared" ref="S63:S65" si="57">R63*1.2</f>
        <v>314691.2492</v>
      </c>
      <c r="T63" s="29">
        <f t="shared" si="5"/>
        <v>314.6912492</v>
      </c>
    </row>
    <row r="64">
      <c r="A64" s="32"/>
      <c r="B64" s="23" t="s">
        <v>52</v>
      </c>
      <c r="C64" s="23">
        <v>2.1</v>
      </c>
      <c r="D64" s="23">
        <v>1.4</v>
      </c>
      <c r="E64" s="23">
        <v>2.5</v>
      </c>
      <c r="F64" s="23">
        <v>1.8</v>
      </c>
      <c r="G64" s="23">
        <v>1.3</v>
      </c>
      <c r="H64" s="24">
        <v>0.0</v>
      </c>
      <c r="I64" s="25">
        <f t="shared" si="38"/>
        <v>14.1</v>
      </c>
      <c r="J64" s="26">
        <f t="shared" si="55"/>
        <v>668.4199722</v>
      </c>
      <c r="K64" s="26" t="s">
        <v>51</v>
      </c>
      <c r="L64" s="26">
        <f t="shared" si="39"/>
        <v>221.769408</v>
      </c>
      <c r="M64" s="26">
        <f t="shared" si="3"/>
        <v>890.1893802</v>
      </c>
      <c r="N64" s="27">
        <v>340.0</v>
      </c>
      <c r="O64" s="27">
        <f t="shared" si="4"/>
        <v>322.974</v>
      </c>
      <c r="P64" s="28">
        <v>116.0</v>
      </c>
      <c r="Q64" s="28">
        <v>70.0</v>
      </c>
      <c r="R64" s="25">
        <f t="shared" si="56"/>
        <v>231406.1306</v>
      </c>
      <c r="S64" s="25">
        <f t="shared" si="57"/>
        <v>277687.3568</v>
      </c>
      <c r="T64" s="29">
        <f t="shared" si="5"/>
        <v>277.6873568</v>
      </c>
    </row>
    <row r="65">
      <c r="A65" s="33"/>
      <c r="B65" s="31" t="s">
        <v>53</v>
      </c>
      <c r="C65" s="31">
        <v>2.0</v>
      </c>
      <c r="D65" s="31">
        <v>1.32</v>
      </c>
      <c r="E65" s="31">
        <v>2.2</v>
      </c>
      <c r="F65" s="31">
        <v>1.8</v>
      </c>
      <c r="G65" s="31">
        <v>1.4</v>
      </c>
      <c r="H65" s="24">
        <v>0.0</v>
      </c>
      <c r="I65" s="25">
        <f t="shared" si="38"/>
        <v>13.6</v>
      </c>
      <c r="J65" s="26">
        <f t="shared" si="55"/>
        <v>593.182253</v>
      </c>
      <c r="K65" s="26" t="s">
        <v>51</v>
      </c>
      <c r="L65" s="26">
        <f t="shared" si="39"/>
        <v>214.6976256</v>
      </c>
      <c r="M65" s="26">
        <f t="shared" si="3"/>
        <v>807.8798786</v>
      </c>
      <c r="N65" s="27">
        <v>340.0</v>
      </c>
      <c r="O65" s="27">
        <f t="shared" si="4"/>
        <v>322.974</v>
      </c>
      <c r="P65" s="28">
        <v>116.0</v>
      </c>
      <c r="Q65" s="28">
        <v>70.0</v>
      </c>
      <c r="R65" s="25">
        <f t="shared" si="56"/>
        <v>206611.2788</v>
      </c>
      <c r="S65" s="25">
        <f t="shared" si="57"/>
        <v>247933.5345</v>
      </c>
      <c r="T65" s="29">
        <f t="shared" si="5"/>
        <v>247.9335345</v>
      </c>
    </row>
    <row r="66">
      <c r="A66" s="22" t="s">
        <v>69</v>
      </c>
      <c r="B66" s="23" t="s">
        <v>49</v>
      </c>
      <c r="C66" s="23">
        <v>2.8</v>
      </c>
      <c r="D66" s="23">
        <v>1.7</v>
      </c>
      <c r="E66" s="23">
        <v>3.57</v>
      </c>
      <c r="F66" s="23">
        <v>1.6</v>
      </c>
      <c r="G66" s="23">
        <v>1.2</v>
      </c>
      <c r="H66" s="24">
        <v>0.0</v>
      </c>
      <c r="I66" s="25">
        <f t="shared" si="38"/>
        <v>17.2</v>
      </c>
      <c r="J66" s="26">
        <f>(C66*C66*0.785*19*1.02*2.703*3)+(D66*D66*0.785*7*1.02*2.703)</f>
        <v>1010.962483</v>
      </c>
      <c r="K66" s="26">
        <f>(E66*E66*0.785*7*1.02*2.703)</f>
        <v>193.0858047</v>
      </c>
      <c r="L66" s="26">
        <f t="shared" si="39"/>
        <v>248.507136</v>
      </c>
      <c r="M66" s="26">
        <f t="shared" si="3"/>
        <v>1259.469619</v>
      </c>
      <c r="N66" s="27">
        <v>340.0</v>
      </c>
      <c r="O66" s="27">
        <f t="shared" si="4"/>
        <v>322.974</v>
      </c>
      <c r="P66" s="28">
        <v>116.0</v>
      </c>
      <c r="Q66" s="28">
        <v>70.0</v>
      </c>
      <c r="R66" s="25">
        <f>(J66*O66)+(K66*N66)+(L66*P66)</f>
        <v>420990.5983</v>
      </c>
      <c r="S66" s="25">
        <f>R66*1.15</f>
        <v>484139.188</v>
      </c>
      <c r="T66" s="29">
        <f t="shared" si="5"/>
        <v>484.139188</v>
      </c>
    </row>
    <row r="67">
      <c r="A67" s="30"/>
      <c r="B67" s="31" t="s">
        <v>50</v>
      </c>
      <c r="C67" s="31">
        <v>2.3</v>
      </c>
      <c r="D67" s="31">
        <v>1.5</v>
      </c>
      <c r="E67" s="31">
        <v>2.4</v>
      </c>
      <c r="F67" s="31">
        <v>1.8</v>
      </c>
      <c r="G67" s="31">
        <v>1.3</v>
      </c>
      <c r="H67" s="24">
        <v>0.0</v>
      </c>
      <c r="I67" s="25">
        <f t="shared" si="38"/>
        <v>15.1</v>
      </c>
      <c r="J67" s="26">
        <f t="shared" ref="J67:J69" si="58">(C67*C67*0.785*19*1.02*2.703*3)+(D67*D67*0.785*7*1.02*2.703)+(E67*E67*0.785*7*1.02*2.703)</f>
        <v>773.950855</v>
      </c>
      <c r="K67" s="26" t="s">
        <v>51</v>
      </c>
      <c r="L67" s="26">
        <f t="shared" si="39"/>
        <v>239.222784</v>
      </c>
      <c r="M67" s="26">
        <f t="shared" si="3"/>
        <v>1013.173639</v>
      </c>
      <c r="N67" s="27">
        <v>340.0</v>
      </c>
      <c r="O67" s="27">
        <f t="shared" si="4"/>
        <v>322.974</v>
      </c>
      <c r="P67" s="28">
        <v>116.0</v>
      </c>
      <c r="Q67" s="28">
        <v>70.0</v>
      </c>
      <c r="R67" s="25">
        <f t="shared" ref="R67:R69" si="59">(J67*O67)+(L67*Q67)</f>
        <v>266711.5983</v>
      </c>
      <c r="S67" s="25">
        <f t="shared" ref="S67:S69" si="60">R67*1.2</f>
        <v>320053.918</v>
      </c>
      <c r="T67" s="29">
        <f t="shared" si="5"/>
        <v>320.053918</v>
      </c>
    </row>
    <row r="68">
      <c r="A68" s="32"/>
      <c r="B68" s="23" t="s">
        <v>52</v>
      </c>
      <c r="C68" s="23">
        <v>2.2</v>
      </c>
      <c r="D68" s="23">
        <v>1.4</v>
      </c>
      <c r="E68" s="23">
        <v>2.3</v>
      </c>
      <c r="F68" s="23">
        <v>1.9</v>
      </c>
      <c r="G68" s="23">
        <v>1.3</v>
      </c>
      <c r="H68" s="24">
        <v>0.0</v>
      </c>
      <c r="I68" s="25">
        <f t="shared" si="38"/>
        <v>14.8</v>
      </c>
      <c r="J68" s="26">
        <f t="shared" si="58"/>
        <v>706.9227286</v>
      </c>
      <c r="K68" s="26" t="s">
        <v>51</v>
      </c>
      <c r="L68" s="26">
        <f t="shared" si="39"/>
        <v>243.201792</v>
      </c>
      <c r="M68" s="26">
        <f t="shared" si="3"/>
        <v>950.1245206</v>
      </c>
      <c r="N68" s="27">
        <v>340.0</v>
      </c>
      <c r="O68" s="27">
        <f t="shared" si="4"/>
        <v>322.974</v>
      </c>
      <c r="P68" s="28">
        <v>116.0</v>
      </c>
      <c r="Q68" s="28">
        <v>70.0</v>
      </c>
      <c r="R68" s="25">
        <f t="shared" si="59"/>
        <v>245341.7868</v>
      </c>
      <c r="S68" s="25">
        <f t="shared" si="60"/>
        <v>294410.1442</v>
      </c>
      <c r="T68" s="29">
        <f t="shared" si="5"/>
        <v>294.4101442</v>
      </c>
    </row>
    <row r="69">
      <c r="A69" s="33"/>
      <c r="B69" s="31" t="s">
        <v>53</v>
      </c>
      <c r="C69" s="31">
        <v>2.12</v>
      </c>
      <c r="D69" s="31">
        <v>1.32</v>
      </c>
      <c r="E69" s="31">
        <v>2.2</v>
      </c>
      <c r="F69" s="31">
        <v>2.0</v>
      </c>
      <c r="G69" s="31">
        <v>1.4</v>
      </c>
      <c r="H69" s="24">
        <v>0.0</v>
      </c>
      <c r="I69" s="25">
        <f t="shared" si="38"/>
        <v>14.6</v>
      </c>
      <c r="J69" s="26">
        <f t="shared" si="58"/>
        <v>654.1737358</v>
      </c>
      <c r="K69" s="26" t="s">
        <v>51</v>
      </c>
      <c r="L69" s="26">
        <f t="shared" si="39"/>
        <v>250.5086976</v>
      </c>
      <c r="M69" s="26">
        <f t="shared" si="3"/>
        <v>904.6824334</v>
      </c>
      <c r="N69" s="27">
        <v>340.0</v>
      </c>
      <c r="O69" s="27">
        <f t="shared" si="4"/>
        <v>322.974</v>
      </c>
      <c r="P69" s="28">
        <v>116.0</v>
      </c>
      <c r="Q69" s="28">
        <v>70.0</v>
      </c>
      <c r="R69" s="25">
        <f t="shared" si="59"/>
        <v>228816.717</v>
      </c>
      <c r="S69" s="25">
        <f t="shared" si="60"/>
        <v>274580.0604</v>
      </c>
      <c r="T69" s="29">
        <f t="shared" si="5"/>
        <v>274.5800604</v>
      </c>
    </row>
    <row r="70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</row>
    <row r="71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</row>
    <row r="73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</row>
    <row r="74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</row>
    <row r="75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</row>
    <row r="76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</row>
    <row r="77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</row>
    <row r="78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</row>
    <row r="79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</row>
    <row r="80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</row>
    <row r="81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</row>
    <row r="82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</row>
    <row r="83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</row>
    <row r="84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</row>
    <row r="85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</row>
    <row r="86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</row>
    <row r="87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</row>
    <row r="88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</row>
    <row r="8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</row>
    <row r="90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</row>
    <row r="91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</row>
    <row r="92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</row>
    <row r="93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</row>
    <row r="94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</row>
    <row r="95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</row>
    <row r="96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</row>
    <row r="97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</row>
    <row r="98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</row>
    <row r="99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</row>
    <row r="100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</row>
    <row r="101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</row>
    <row r="102"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</row>
    <row r="103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</row>
    <row r="104"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</row>
    <row r="105"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</row>
    <row r="106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</row>
    <row r="107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</row>
    <row r="108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</row>
    <row r="109"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</row>
    <row r="110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</row>
    <row r="111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</row>
    <row r="11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</row>
    <row r="113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</row>
    <row r="114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</row>
    <row r="115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</row>
    <row r="116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</row>
    <row r="117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</row>
    <row r="118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</row>
    <row r="119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</row>
    <row r="120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</row>
    <row r="121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</row>
    <row r="12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</row>
    <row r="123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</row>
    <row r="124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</row>
    <row r="125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</row>
    <row r="126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</row>
    <row r="127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</row>
    <row r="128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</row>
    <row r="129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</row>
    <row r="130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</row>
    <row r="131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</row>
    <row r="132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</row>
    <row r="133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</row>
    <row r="134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</row>
    <row r="135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</row>
    <row r="136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</row>
    <row r="137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</row>
    <row r="138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</row>
    <row r="139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</row>
    <row r="140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</row>
    <row r="141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</row>
    <row r="142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</row>
    <row r="143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</row>
    <row r="144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</row>
    <row r="145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</row>
    <row r="146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</row>
    <row r="147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</row>
    <row r="148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</row>
    <row r="149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</row>
    <row r="150"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</row>
    <row r="151"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</row>
    <row r="152"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</row>
    <row r="153"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</row>
    <row r="154"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</row>
    <row r="155"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</row>
    <row r="156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</row>
    <row r="157"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</row>
    <row r="158"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</row>
    <row r="159"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</row>
    <row r="160"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</row>
    <row r="161"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</row>
    <row r="162"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</row>
    <row r="163"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</row>
    <row r="164"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</row>
    <row r="166"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</row>
    <row r="167"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</row>
    <row r="168"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</row>
    <row r="169"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</row>
    <row r="170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</row>
    <row r="171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</row>
    <row r="172"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</row>
    <row r="173"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</row>
    <row r="174"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</row>
    <row r="175"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</row>
    <row r="176"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</row>
    <row r="177"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  <row r="180"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</row>
    <row r="181"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</row>
    <row r="182"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</row>
    <row r="183"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</row>
    <row r="184"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</row>
    <row r="185"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</row>
    <row r="186"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</row>
    <row r="187"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</row>
    <row r="188"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</row>
    <row r="189"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</row>
    <row r="190"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</row>
    <row r="191"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</row>
    <row r="192"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</row>
    <row r="193"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</row>
    <row r="194"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</row>
    <row r="195"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</row>
    <row r="196"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</row>
    <row r="197"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</row>
    <row r="198"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</row>
    <row r="199"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</row>
    <row r="200"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</row>
    <row r="201"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</row>
    <row r="202"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</row>
    <row r="203"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</row>
    <row r="204"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</row>
    <row r="205"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</row>
    <row r="206"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</row>
    <row r="207"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</row>
    <row r="208"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</row>
    <row r="209"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</row>
    <row r="210"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</row>
    <row r="211"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</row>
    <row r="212"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</row>
    <row r="213"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</row>
    <row r="214"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</row>
    <row r="215"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</row>
    <row r="216"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</row>
    <row r="217"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</row>
    <row r="218"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</row>
    <row r="219"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</row>
    <row r="220"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</row>
    <row r="221"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</row>
    <row r="222"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</row>
    <row r="223"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</row>
    <row r="224"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</row>
    <row r="225"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</row>
    <row r="226"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</row>
    <row r="227"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</row>
    <row r="228"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</row>
    <row r="229"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</row>
    <row r="230"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</row>
    <row r="231"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</row>
    <row r="232"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</row>
    <row r="233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</row>
    <row r="234"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</row>
    <row r="235"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</row>
    <row r="236"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</row>
    <row r="237"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</row>
    <row r="238"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</row>
    <row r="239"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</row>
    <row r="240"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</row>
    <row r="241"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</row>
    <row r="242"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</row>
    <row r="244"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</row>
    <row r="245"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</row>
    <row r="246"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</row>
    <row r="247"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</row>
    <row r="248"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</row>
    <row r="249"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</row>
    <row r="251"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</row>
    <row r="252"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</row>
    <row r="253"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</row>
    <row r="254"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</row>
    <row r="255"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</row>
    <row r="256"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</row>
    <row r="257"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</row>
    <row r="258"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</row>
    <row r="259"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</row>
    <row r="260"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</row>
    <row r="261"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</row>
    <row r="262"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</row>
    <row r="263"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</row>
    <row r="264"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</row>
    <row r="265"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</row>
    <row r="266"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</row>
    <row r="267"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</row>
    <row r="268"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</row>
    <row r="269"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</row>
    <row r="270"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</row>
    <row r="271"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</row>
    <row r="272"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</row>
    <row r="273"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</row>
    <row r="274"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</row>
    <row r="275"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</row>
    <row r="276"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</row>
    <row r="277"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</row>
    <row r="278"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</row>
    <row r="279"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</row>
    <row r="280"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</row>
    <row r="281"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</row>
    <row r="282"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</row>
    <row r="283"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</row>
    <row r="284"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</row>
    <row r="285"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</row>
    <row r="286"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</row>
    <row r="287"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</row>
    <row r="288"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</row>
    <row r="289"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</row>
    <row r="290"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</row>
    <row r="291"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</row>
    <row r="292"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</row>
    <row r="293"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</row>
    <row r="294"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</row>
    <row r="295"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</row>
    <row r="296"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</row>
    <row r="297"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</row>
    <row r="298"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</row>
    <row r="299"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</row>
    <row r="300"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</row>
    <row r="301"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</row>
    <row r="302"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</row>
    <row r="303"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</row>
    <row r="304"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</row>
    <row r="305"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</row>
    <row r="306"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</row>
    <row r="307"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</row>
    <row r="308"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</row>
    <row r="309"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</row>
    <row r="310"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</row>
    <row r="311"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</row>
    <row r="312"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</row>
    <row r="313"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</row>
    <row r="314"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</row>
    <row r="315"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</row>
    <row r="316"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</row>
    <row r="317"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</row>
    <row r="318"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</row>
    <row r="319"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</row>
    <row r="320"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</row>
    <row r="321"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</row>
    <row r="322"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</row>
    <row r="323"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</row>
    <row r="324"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</row>
    <row r="325"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</row>
    <row r="326"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</row>
    <row r="327"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</row>
    <row r="328"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</row>
    <row r="329"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</row>
    <row r="330"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</row>
    <row r="331"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</row>
    <row r="332"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</row>
    <row r="333"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</row>
    <row r="334"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</row>
    <row r="335"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</row>
    <row r="336"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</row>
    <row r="337"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</row>
    <row r="338"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</row>
    <row r="339"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</row>
    <row r="340"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</row>
    <row r="341"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</row>
    <row r="342"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</row>
    <row r="343"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</row>
    <row r="344"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</row>
    <row r="345"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</row>
    <row r="346"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</row>
    <row r="347"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</row>
    <row r="348"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</row>
    <row r="349"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</row>
    <row r="350"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</row>
    <row r="351"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</row>
    <row r="352"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</row>
    <row r="353"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</row>
    <row r="354"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</row>
    <row r="355"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</row>
    <row r="356"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</row>
    <row r="357"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</row>
    <row r="358"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</row>
    <row r="359"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</row>
    <row r="360"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</row>
    <row r="361"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</row>
    <row r="362"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</row>
    <row r="363"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</row>
    <row r="364"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</row>
    <row r="365"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</row>
    <row r="366"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</row>
    <row r="367"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</row>
    <row r="368"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</row>
    <row r="369"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</row>
    <row r="370"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</row>
    <row r="371"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</row>
    <row r="372"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</row>
    <row r="373"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</row>
    <row r="374"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</row>
    <row r="375"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</row>
    <row r="376"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</row>
    <row r="377"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</row>
    <row r="378"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</row>
    <row r="379"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</row>
    <row r="380"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</row>
    <row r="381"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</row>
    <row r="382"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</row>
    <row r="383"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</row>
    <row r="384"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</row>
    <row r="385"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</row>
    <row r="386"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</row>
    <row r="387"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</row>
    <row r="388"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</row>
    <row r="389"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</row>
    <row r="390"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</row>
    <row r="391"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</row>
    <row r="392"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</row>
    <row r="393"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</row>
    <row r="394"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</row>
    <row r="395"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</row>
    <row r="396"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</row>
    <row r="397"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</row>
    <row r="398"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</row>
    <row r="399"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</row>
    <row r="400"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</row>
    <row r="401"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</row>
    <row r="402"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</row>
    <row r="403"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</row>
    <row r="404"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</row>
    <row r="405"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</row>
    <row r="406"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</row>
    <row r="407"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</row>
    <row r="408"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</row>
    <row r="409"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</row>
    <row r="410"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</row>
    <row r="411"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</row>
    <row r="412"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</row>
    <row r="413"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</row>
    <row r="414"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</row>
    <row r="415"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</row>
    <row r="416"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</row>
    <row r="417"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</row>
    <row r="418"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</row>
    <row r="419"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</row>
    <row r="420"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</row>
    <row r="421"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</row>
    <row r="422"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</row>
    <row r="423"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</row>
    <row r="424"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</row>
    <row r="425"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</row>
    <row r="426"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</row>
    <row r="427"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</row>
    <row r="428"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</row>
    <row r="429"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</row>
    <row r="430"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</row>
    <row r="431"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</row>
    <row r="432"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</row>
    <row r="433"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</row>
    <row r="434"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</row>
    <row r="435"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</row>
    <row r="436"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</row>
    <row r="437"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</row>
    <row r="438"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</row>
    <row r="439"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</row>
    <row r="440"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</row>
    <row r="441"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</row>
    <row r="442"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</row>
    <row r="443"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</row>
    <row r="444"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</row>
    <row r="445"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</row>
    <row r="446"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</row>
    <row r="447"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</row>
    <row r="448"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</row>
    <row r="449"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</row>
    <row r="450"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</row>
    <row r="451"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</row>
    <row r="452"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</row>
    <row r="453"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</row>
    <row r="454"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</row>
    <row r="455"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</row>
    <row r="456"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</row>
    <row r="457"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</row>
    <row r="458"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</row>
    <row r="459"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</row>
    <row r="460"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</row>
    <row r="461"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</row>
    <row r="462"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</row>
    <row r="463"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</row>
    <row r="464"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</row>
    <row r="465"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</row>
    <row r="466"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</row>
    <row r="467"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</row>
    <row r="468"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</row>
    <row r="469"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</row>
    <row r="470"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</row>
    <row r="471"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</row>
    <row r="472"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</row>
    <row r="473"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</row>
    <row r="474"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</row>
    <row r="475"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</row>
    <row r="476"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</row>
    <row r="477"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</row>
    <row r="478"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</row>
    <row r="479"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</row>
    <row r="480"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</row>
    <row r="481"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</row>
    <row r="482"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</row>
    <row r="483"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</row>
    <row r="484"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</row>
    <row r="485"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</row>
    <row r="486"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</row>
    <row r="487"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</row>
    <row r="488"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</row>
    <row r="489"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</row>
    <row r="490"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</row>
    <row r="491"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</row>
    <row r="492"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</row>
    <row r="493"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</row>
    <row r="494"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</row>
    <row r="495"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</row>
    <row r="496"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</row>
    <row r="497"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</row>
    <row r="498"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</row>
    <row r="499"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</row>
    <row r="500"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</row>
    <row r="501"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</row>
    <row r="502"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</row>
    <row r="503"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</row>
    <row r="504"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</row>
    <row r="505"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</row>
    <row r="506"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</row>
    <row r="507"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</row>
    <row r="508"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</row>
    <row r="509"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</row>
    <row r="510"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</row>
    <row r="511"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</row>
    <row r="512"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</row>
    <row r="513"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</row>
    <row r="514"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</row>
    <row r="515"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</row>
    <row r="516"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</row>
    <row r="517"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</row>
    <row r="518"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</row>
    <row r="519"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</row>
    <row r="520"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</row>
    <row r="521"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</row>
    <row r="522"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</row>
    <row r="523"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</row>
    <row r="524"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</row>
    <row r="525"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</row>
    <row r="526"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</row>
    <row r="527"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</row>
    <row r="528"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</row>
    <row r="529"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</row>
    <row r="530"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</row>
    <row r="531"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</row>
    <row r="532"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</row>
    <row r="533"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</row>
    <row r="534"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</row>
    <row r="535"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</row>
    <row r="536"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</row>
    <row r="537"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</row>
    <row r="538"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</row>
    <row r="539"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</row>
    <row r="540"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</row>
    <row r="541"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</row>
    <row r="542"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</row>
    <row r="543"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</row>
    <row r="544"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</row>
    <row r="545"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</row>
    <row r="546"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</row>
    <row r="547"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</row>
    <row r="548"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</row>
    <row r="549"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</row>
    <row r="550"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</row>
    <row r="551"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</row>
    <row r="552"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</row>
    <row r="553"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</row>
    <row r="554"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</row>
    <row r="555"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</row>
    <row r="556"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</row>
    <row r="557"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</row>
    <row r="558"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</row>
    <row r="559"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</row>
    <row r="560"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</row>
    <row r="562"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</row>
    <row r="563"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</row>
    <row r="564"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</row>
    <row r="565"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</row>
    <row r="566"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</row>
    <row r="567"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</row>
    <row r="568"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</row>
    <row r="569"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</row>
    <row r="570"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</row>
    <row r="571"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</row>
    <row r="572"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</row>
    <row r="573"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</row>
    <row r="574"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</row>
    <row r="575"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</row>
    <row r="576"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</row>
    <row r="577"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</row>
    <row r="578"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</row>
    <row r="579"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</row>
    <row r="580"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</row>
    <row r="581"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</row>
    <row r="582"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</row>
    <row r="583"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</row>
    <row r="584"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</row>
    <row r="585"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</row>
    <row r="586"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</row>
    <row r="587"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</row>
    <row r="588"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</row>
    <row r="589"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</row>
    <row r="590"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</row>
    <row r="591"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</row>
    <row r="592"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</row>
    <row r="593"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</row>
    <row r="594"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</row>
    <row r="595"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</row>
    <row r="596"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</row>
    <row r="597"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</row>
    <row r="598"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</row>
    <row r="599"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</row>
    <row r="600"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</row>
    <row r="601"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</row>
    <row r="602"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</row>
    <row r="603"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</row>
    <row r="604"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</row>
    <row r="605"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</row>
    <row r="606"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</row>
    <row r="607"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</row>
    <row r="608"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</row>
    <row r="609"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</row>
    <row r="610"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</row>
    <row r="611"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</row>
    <row r="612"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</row>
    <row r="613"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</row>
    <row r="614"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</row>
    <row r="615"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</row>
    <row r="616"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</row>
    <row r="617"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</row>
    <row r="618"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</row>
    <row r="619"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</row>
    <row r="620"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</row>
    <row r="621"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</row>
    <row r="622"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</row>
    <row r="623"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</row>
    <row r="624"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</row>
    <row r="625"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</row>
    <row r="626"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</row>
    <row r="627"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</row>
    <row r="628"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</row>
    <row r="629"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</row>
    <row r="630"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</row>
    <row r="631"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</row>
    <row r="632"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</row>
    <row r="633"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</row>
    <row r="634"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</row>
    <row r="635"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</row>
    <row r="636"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</row>
    <row r="637"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</row>
    <row r="638"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</row>
    <row r="639"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</row>
    <row r="640"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</row>
    <row r="641"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</row>
    <row r="642"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</row>
    <row r="643"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</row>
    <row r="644"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</row>
    <row r="645"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</row>
    <row r="646"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</row>
    <row r="647"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</row>
    <row r="648"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</row>
    <row r="649"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</row>
    <row r="650"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</row>
    <row r="651"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</row>
    <row r="652"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</row>
    <row r="653"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</row>
    <row r="654"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</row>
    <row r="655"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</row>
    <row r="656"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</row>
    <row r="657"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</row>
    <row r="658"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</row>
    <row r="659"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</row>
    <row r="660"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</row>
    <row r="661"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</row>
    <row r="662"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</row>
    <row r="663"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</row>
    <row r="664"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</row>
    <row r="665"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</row>
    <row r="666"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</row>
    <row r="667"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</row>
    <row r="668"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</row>
    <row r="669"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</row>
    <row r="670"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</row>
    <row r="671"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</row>
    <row r="672"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</row>
    <row r="673"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</row>
    <row r="674"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</row>
    <row r="675"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</row>
    <row r="676"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</row>
    <row r="677"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</row>
    <row r="678"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</row>
    <row r="679"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</row>
    <row r="680"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</row>
    <row r="681"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</row>
    <row r="682"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</row>
    <row r="683"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</row>
    <row r="684"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</row>
    <row r="685"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</row>
    <row r="686"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</row>
    <row r="687"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</row>
    <row r="688"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</row>
    <row r="689"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</row>
    <row r="690"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</row>
    <row r="691"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</row>
    <row r="692"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</row>
    <row r="693"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</row>
    <row r="694"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</row>
    <row r="695"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</row>
    <row r="696"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</row>
    <row r="697"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</row>
    <row r="698"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</row>
    <row r="699"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</row>
    <row r="700"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</row>
    <row r="701"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</row>
    <row r="702"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</row>
    <row r="703"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</row>
    <row r="704"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</row>
    <row r="705"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</row>
    <row r="706"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</row>
    <row r="707"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</row>
    <row r="708"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</row>
    <row r="709"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</row>
    <row r="710"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</row>
    <row r="711"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</row>
    <row r="712"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</row>
    <row r="713"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</row>
    <row r="714"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</row>
    <row r="715"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</row>
    <row r="716"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</row>
    <row r="717"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</row>
    <row r="718"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</row>
    <row r="719"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</row>
    <row r="720"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</row>
    <row r="721"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</row>
    <row r="722"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</row>
    <row r="723"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</row>
    <row r="724"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</row>
    <row r="725"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</row>
    <row r="726"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</row>
    <row r="727"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</row>
    <row r="728"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</row>
    <row r="729"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</row>
    <row r="730"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</row>
    <row r="731"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</row>
    <row r="732"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</row>
    <row r="733"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</row>
    <row r="734"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</row>
    <row r="735"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</row>
    <row r="736"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</row>
    <row r="737"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</row>
    <row r="738"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</row>
    <row r="739"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</row>
    <row r="740"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</row>
    <row r="741"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</row>
    <row r="742"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</row>
    <row r="743"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</row>
    <row r="744"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</row>
    <row r="745"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</row>
    <row r="746"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</row>
    <row r="747"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</row>
    <row r="748"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</row>
    <row r="749"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</row>
    <row r="750"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</row>
    <row r="751"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</row>
    <row r="752"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</row>
    <row r="753"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</row>
    <row r="754"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</row>
    <row r="755"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</row>
    <row r="756"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</row>
    <row r="757"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</row>
    <row r="758"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</row>
    <row r="759"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</row>
    <row r="760"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</row>
    <row r="761"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</row>
    <row r="762"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</row>
    <row r="763"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</row>
    <row r="764"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</row>
    <row r="765"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</row>
    <row r="766"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</row>
    <row r="767"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</row>
    <row r="768"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</row>
    <row r="769"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</row>
    <row r="770"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</row>
    <row r="771"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</row>
    <row r="772"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</row>
    <row r="773"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</row>
    <row r="774"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</row>
    <row r="775"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</row>
    <row r="776"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</row>
    <row r="777"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</row>
    <row r="778"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</row>
    <row r="779"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</row>
    <row r="780"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</row>
    <row r="781"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</row>
    <row r="782"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</row>
    <row r="783"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</row>
    <row r="784"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</row>
    <row r="785"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</row>
    <row r="786"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</row>
    <row r="787"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</row>
    <row r="788"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</row>
    <row r="789"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</row>
    <row r="790"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</row>
    <row r="791"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</row>
    <row r="792"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</row>
    <row r="793"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</row>
    <row r="794"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</row>
    <row r="795"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</row>
    <row r="796"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</row>
    <row r="797"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</row>
    <row r="798"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</row>
    <row r="799"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</row>
    <row r="800"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</row>
    <row r="801"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</row>
    <row r="802"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</row>
    <row r="803"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</row>
    <row r="804"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</row>
    <row r="805"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</row>
    <row r="806"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</row>
    <row r="807"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</row>
    <row r="808"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</row>
    <row r="809"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</row>
    <row r="810"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</row>
    <row r="811"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</row>
    <row r="812"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</row>
    <row r="813"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</row>
    <row r="814"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</row>
    <row r="815"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</row>
    <row r="816"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</row>
    <row r="817"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</row>
    <row r="818"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</row>
    <row r="819"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</row>
    <row r="820"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</row>
    <row r="821"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</row>
    <row r="822"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</row>
    <row r="823"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</row>
    <row r="824"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</row>
    <row r="825"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</row>
    <row r="826"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</row>
    <row r="827"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</row>
    <row r="828"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</row>
    <row r="829"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</row>
    <row r="830"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</row>
    <row r="831"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</row>
    <row r="832"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</row>
    <row r="833"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</row>
    <row r="834"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</row>
    <row r="835"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</row>
    <row r="836"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</row>
    <row r="837"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</row>
    <row r="838"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</row>
    <row r="839"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</row>
    <row r="840"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</row>
    <row r="841"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</row>
    <row r="842"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</row>
    <row r="843"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</row>
    <row r="844"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</row>
    <row r="845"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</row>
    <row r="846"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</row>
    <row r="847"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</row>
    <row r="848"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</row>
    <row r="849"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</row>
    <row r="850"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</row>
    <row r="851"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</row>
    <row r="852"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</row>
    <row r="853"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</row>
    <row r="854"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</row>
    <row r="855"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</row>
    <row r="856"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</row>
    <row r="857"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</row>
    <row r="858"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</row>
    <row r="859"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</row>
    <row r="860"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</row>
    <row r="861"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</row>
    <row r="862"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</row>
    <row r="863"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</row>
    <row r="864"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</row>
    <row r="865"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</row>
    <row r="866"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</row>
    <row r="867"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</row>
    <row r="868"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</row>
    <row r="869"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</row>
    <row r="870"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</row>
    <row r="871"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</row>
    <row r="872"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</row>
    <row r="873"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</row>
    <row r="874"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</row>
    <row r="875"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</row>
    <row r="876"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</row>
    <row r="877"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</row>
    <row r="878"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</row>
    <row r="879"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</row>
    <row r="880"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</row>
    <row r="881"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</row>
    <row r="882"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</row>
    <row r="883"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</row>
    <row r="884"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</row>
    <row r="885"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</row>
    <row r="886"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</row>
    <row r="887"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</row>
    <row r="888"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</row>
    <row r="889"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</row>
    <row r="890"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</row>
    <row r="891"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</row>
    <row r="892"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</row>
    <row r="893"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</row>
    <row r="894"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</row>
    <row r="895"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</row>
    <row r="896"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</row>
    <row r="897"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</row>
    <row r="898"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</row>
    <row r="899"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</row>
    <row r="900"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</row>
    <row r="901"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</row>
    <row r="902"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</row>
    <row r="903"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</row>
    <row r="904"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</row>
    <row r="905"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</row>
    <row r="906"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</row>
    <row r="907"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</row>
    <row r="908"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</row>
    <row r="909"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</row>
    <row r="910"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</row>
    <row r="911"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</row>
    <row r="912"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</row>
    <row r="913"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</row>
    <row r="914"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</row>
    <row r="915"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</row>
    <row r="916"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</row>
    <row r="917"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</row>
    <row r="918"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</row>
    <row r="919"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</row>
    <row r="920"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</row>
    <row r="921"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</row>
    <row r="922"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</row>
    <row r="923"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</row>
    <row r="924"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</row>
    <row r="925"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</row>
    <row r="926"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</row>
    <row r="927"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</row>
    <row r="928"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</row>
    <row r="929"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</row>
    <row r="930"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</row>
    <row r="931"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</row>
    <row r="932"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</row>
    <row r="933"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</row>
    <row r="934"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</row>
    <row r="935"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</row>
    <row r="936"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</row>
    <row r="937"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</row>
    <row r="938"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</row>
    <row r="939"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</row>
    <row r="940"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</row>
    <row r="941"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</row>
    <row r="942"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</row>
    <row r="943"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</row>
    <row r="944"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</row>
    <row r="945"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</row>
    <row r="946"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</row>
    <row r="947"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</row>
    <row r="948"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</row>
    <row r="949"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</row>
    <row r="950"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</row>
    <row r="951"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</row>
    <row r="952"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</row>
    <row r="953"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</row>
    <row r="954"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</row>
    <row r="955"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</row>
    <row r="956"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</row>
    <row r="957"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</row>
    <row r="958"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</row>
    <row r="959"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</row>
    <row r="960"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</row>
    <row r="961"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</row>
    <row r="962"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</row>
    <row r="963"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</row>
    <row r="964"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</row>
    <row r="965"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</row>
    <row r="966"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</row>
    <row r="967"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</row>
    <row r="968"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</row>
    <row r="969"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</row>
    <row r="970"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</row>
    <row r="971"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</row>
    <row r="972"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</row>
    <row r="973"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</row>
    <row r="974"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</row>
    <row r="975"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</row>
    <row r="976"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</row>
    <row r="977"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</row>
    <row r="978"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</row>
    <row r="979"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</row>
    <row r="980"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</row>
    <row r="981"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</row>
    <row r="982"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</row>
    <row r="983"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</row>
    <row r="984"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</row>
    <row r="985"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</row>
    <row r="986"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</row>
    <row r="987"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</row>
    <row r="988"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</row>
    <row r="989"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</row>
    <row r="990"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</row>
    <row r="991"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</row>
    <row r="992"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</row>
    <row r="993"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</row>
    <row r="994"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</row>
    <row r="995"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</row>
    <row r="996"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</row>
    <row r="997"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</row>
    <row r="998"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</row>
    <row r="999"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</row>
    <row r="1000"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</row>
    <row r="1001"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</row>
    <row r="1002"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</row>
    <row r="1003"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</row>
    <row r="1004"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</row>
    <row r="1005"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</row>
    <row r="1006"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</row>
    <row r="1007"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</row>
    <row r="1008"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</row>
    <row r="1009"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</row>
    <row r="1010"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</row>
    <row r="1011"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</row>
    <row r="1012"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</row>
    <row r="1013"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</row>
    <row r="1014"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</row>
    <row r="1015"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</row>
    <row r="1016"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</row>
    <row r="1017"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</row>
    <row r="1018"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</row>
    <row r="1019"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</row>
    <row r="1020"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</row>
    <row r="1021"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</row>
    <row r="1022"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</row>
    <row r="1023"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</row>
    <row r="1024"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</row>
  </sheetData>
  <mergeCells count="17">
    <mergeCell ref="A2:A5"/>
    <mergeCell ref="A6:A9"/>
    <mergeCell ref="A10:A13"/>
    <mergeCell ref="A14:A17"/>
    <mergeCell ref="A18:A21"/>
    <mergeCell ref="A22:A25"/>
    <mergeCell ref="A26:A29"/>
    <mergeCell ref="A58:A61"/>
    <mergeCell ref="A62:A65"/>
    <mergeCell ref="A66:A69"/>
    <mergeCell ref="A30:A33"/>
    <mergeCell ref="A34:A37"/>
    <mergeCell ref="A38:A41"/>
    <mergeCell ref="A42:A45"/>
    <mergeCell ref="A46:A49"/>
    <mergeCell ref="A50:A53"/>
    <mergeCell ref="A54:A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4.88"/>
    <col customWidth="1" min="4" max="6" width="15.88"/>
    <col customWidth="1" min="15" max="15" width="14.63"/>
  </cols>
  <sheetData>
    <row r="1">
      <c r="A1" s="40" t="s">
        <v>0</v>
      </c>
      <c r="B1" s="41" t="s">
        <v>70</v>
      </c>
      <c r="D1" s="40" t="s">
        <v>71</v>
      </c>
      <c r="E1" s="40" t="s">
        <v>72</v>
      </c>
      <c r="F1" s="40" t="s">
        <v>73</v>
      </c>
      <c r="G1" s="40" t="s">
        <v>74</v>
      </c>
      <c r="H1" s="40" t="s">
        <v>75</v>
      </c>
      <c r="I1" s="40" t="s">
        <v>76</v>
      </c>
      <c r="J1" s="40" t="s">
        <v>77</v>
      </c>
      <c r="K1" s="42" t="s">
        <v>5</v>
      </c>
      <c r="L1" s="42" t="s">
        <v>78</v>
      </c>
      <c r="M1" s="43" t="s">
        <v>79</v>
      </c>
      <c r="N1" s="43" t="s">
        <v>80</v>
      </c>
      <c r="O1" s="43" t="s">
        <v>81</v>
      </c>
      <c r="P1" s="43" t="s">
        <v>82</v>
      </c>
      <c r="Q1" s="43" t="s">
        <v>83</v>
      </c>
    </row>
    <row r="2" ht="54.0" customHeight="1">
      <c r="B2" s="41" t="s">
        <v>84</v>
      </c>
      <c r="C2" s="41" t="s">
        <v>85</v>
      </c>
      <c r="K2" s="44"/>
      <c r="L2" s="44"/>
      <c r="M2" s="44"/>
      <c r="N2" s="44"/>
      <c r="O2" s="44"/>
      <c r="P2" s="44"/>
      <c r="Q2" s="44"/>
    </row>
    <row r="3">
      <c r="A3" s="45" t="s">
        <v>86</v>
      </c>
      <c r="B3" s="45" t="s">
        <v>87</v>
      </c>
      <c r="C3" s="45" t="s">
        <v>88</v>
      </c>
      <c r="D3" s="46">
        <v>6.0</v>
      </c>
      <c r="E3" s="45">
        <v>1.0</v>
      </c>
      <c r="F3" s="47">
        <v>1.5</v>
      </c>
      <c r="G3" s="47">
        <v>1.5</v>
      </c>
      <c r="H3" s="47">
        <f t="shared" ref="H3:H16" si="1">F3*F3*0.785*D3*1.02*2.703</f>
        <v>29.21794335</v>
      </c>
      <c r="I3" s="47">
        <f t="shared" ref="I3:I16" si="2">G3*G3*0.785*E3*1.02*7.9</f>
        <v>14.2324425</v>
      </c>
      <c r="J3" s="47">
        <f t="shared" ref="J3:J16" si="3">I3+H3</f>
        <v>43.45038585</v>
      </c>
      <c r="K3" s="48">
        <v>296.0</v>
      </c>
      <c r="L3" s="48">
        <v>320.0</v>
      </c>
      <c r="M3" s="49">
        <v>65.0</v>
      </c>
      <c r="N3" s="50">
        <f t="shared" ref="N3:N16" si="4">((H3*L3)+(I3*M3))*1.12/1000</f>
        <v>11.50783271</v>
      </c>
      <c r="O3" s="50">
        <f t="shared" ref="O3:O16" si="5">((I3*M3)+(H3*K3))*1.15/1000</f>
        <v>11.00966299</v>
      </c>
      <c r="P3" s="50">
        <f t="shared" ref="P3:P16" si="6">(N3*1000)/J3</f>
        <v>264.8499544</v>
      </c>
      <c r="Q3" s="50">
        <f t="shared" ref="Q3:Q16" si="7">(O3*1000)/J3</f>
        <v>253.3847002</v>
      </c>
    </row>
    <row r="4">
      <c r="A4" s="45" t="s">
        <v>89</v>
      </c>
      <c r="B4" s="45" t="s">
        <v>90</v>
      </c>
      <c r="C4" s="45" t="s">
        <v>91</v>
      </c>
      <c r="D4" s="46">
        <v>6.0</v>
      </c>
      <c r="E4" s="45">
        <v>1.0</v>
      </c>
      <c r="F4" s="47">
        <v>1.96</v>
      </c>
      <c r="G4" s="47">
        <v>1.96</v>
      </c>
      <c r="H4" s="47">
        <f t="shared" si="1"/>
        <v>49.88606719</v>
      </c>
      <c r="I4" s="47">
        <f t="shared" si="2"/>
        <v>24.30015605</v>
      </c>
      <c r="J4" s="47">
        <f t="shared" si="3"/>
        <v>74.18622324</v>
      </c>
      <c r="K4" s="48">
        <v>296.0</v>
      </c>
      <c r="L4" s="48">
        <v>320.0</v>
      </c>
      <c r="M4" s="49">
        <v>65.0</v>
      </c>
      <c r="N4" s="50">
        <f t="shared" si="4"/>
        <v>19.64821784</v>
      </c>
      <c r="O4" s="50">
        <f t="shared" si="5"/>
        <v>18.79765394</v>
      </c>
      <c r="P4" s="50">
        <f t="shared" si="6"/>
        <v>264.8499544</v>
      </c>
      <c r="Q4" s="50">
        <f t="shared" si="7"/>
        <v>253.3847002</v>
      </c>
    </row>
    <row r="5">
      <c r="A5" s="45" t="s">
        <v>92</v>
      </c>
      <c r="B5" s="45" t="s">
        <v>90</v>
      </c>
      <c r="C5" s="45" t="s">
        <v>91</v>
      </c>
      <c r="D5" s="46">
        <v>6.0</v>
      </c>
      <c r="E5" s="45">
        <v>1.0</v>
      </c>
      <c r="F5" s="47">
        <v>1.96</v>
      </c>
      <c r="G5" s="47">
        <v>1.96</v>
      </c>
      <c r="H5" s="47">
        <f t="shared" si="1"/>
        <v>49.88606719</v>
      </c>
      <c r="I5" s="47">
        <f t="shared" si="2"/>
        <v>24.30015605</v>
      </c>
      <c r="J5" s="47">
        <f t="shared" si="3"/>
        <v>74.18622324</v>
      </c>
      <c r="K5" s="48">
        <v>296.0</v>
      </c>
      <c r="L5" s="48">
        <v>320.0</v>
      </c>
      <c r="M5" s="49">
        <v>65.0</v>
      </c>
      <c r="N5" s="50">
        <f t="shared" si="4"/>
        <v>19.64821784</v>
      </c>
      <c r="O5" s="50">
        <f t="shared" si="5"/>
        <v>18.79765394</v>
      </c>
      <c r="P5" s="50">
        <f t="shared" si="6"/>
        <v>264.8499544</v>
      </c>
      <c r="Q5" s="50">
        <f t="shared" si="7"/>
        <v>253.3847002</v>
      </c>
    </row>
    <row r="6">
      <c r="A6" s="45" t="s">
        <v>93</v>
      </c>
      <c r="B6" s="45" t="s">
        <v>94</v>
      </c>
      <c r="C6" s="45" t="s">
        <v>95</v>
      </c>
      <c r="D6" s="46">
        <v>6.0</v>
      </c>
      <c r="E6" s="45">
        <v>1.0</v>
      </c>
      <c r="F6" s="47">
        <v>2.59</v>
      </c>
      <c r="G6" s="47">
        <v>2.59</v>
      </c>
      <c r="H6" s="47">
        <f t="shared" si="1"/>
        <v>87.10972702</v>
      </c>
      <c r="I6" s="47">
        <f t="shared" si="2"/>
        <v>42.43228779</v>
      </c>
      <c r="J6" s="47">
        <f t="shared" si="3"/>
        <v>129.5420148</v>
      </c>
      <c r="K6" s="48">
        <v>296.0</v>
      </c>
      <c r="L6" s="48">
        <v>320.0</v>
      </c>
      <c r="M6" s="49">
        <v>65.0</v>
      </c>
      <c r="N6" s="50">
        <f t="shared" si="4"/>
        <v>34.30919671</v>
      </c>
      <c r="O6" s="50">
        <f t="shared" si="5"/>
        <v>32.82396459</v>
      </c>
      <c r="P6" s="50">
        <f t="shared" si="6"/>
        <v>264.8499544</v>
      </c>
      <c r="Q6" s="50">
        <f t="shared" si="7"/>
        <v>253.3847002</v>
      </c>
    </row>
    <row r="7">
      <c r="A7" s="45" t="s">
        <v>96</v>
      </c>
      <c r="B7" s="45" t="s">
        <v>97</v>
      </c>
      <c r="C7" s="45" t="s">
        <v>98</v>
      </c>
      <c r="D7" s="46">
        <v>6.0</v>
      </c>
      <c r="E7" s="45">
        <v>1.0</v>
      </c>
      <c r="F7" s="47">
        <v>3.35</v>
      </c>
      <c r="G7" s="47">
        <v>3.35</v>
      </c>
      <c r="H7" s="47">
        <f t="shared" si="1"/>
        <v>145.7326086</v>
      </c>
      <c r="I7" s="47">
        <f t="shared" si="2"/>
        <v>70.98826043</v>
      </c>
      <c r="J7" s="47">
        <f t="shared" si="3"/>
        <v>216.720869</v>
      </c>
      <c r="K7" s="48">
        <v>296.0</v>
      </c>
      <c r="L7" s="48">
        <v>320.0</v>
      </c>
      <c r="M7" s="49">
        <v>65.0</v>
      </c>
      <c r="N7" s="50">
        <f t="shared" si="4"/>
        <v>57.39851226</v>
      </c>
      <c r="O7" s="50">
        <f t="shared" si="5"/>
        <v>54.91375242</v>
      </c>
      <c r="P7" s="50">
        <f t="shared" si="6"/>
        <v>264.8499544</v>
      </c>
      <c r="Q7" s="50">
        <f t="shared" si="7"/>
        <v>253.3847002</v>
      </c>
    </row>
    <row r="8">
      <c r="A8" s="45" t="s">
        <v>99</v>
      </c>
      <c r="B8" s="45" t="s">
        <v>100</v>
      </c>
      <c r="C8" s="45" t="s">
        <v>101</v>
      </c>
      <c r="D8" s="46">
        <v>6.0</v>
      </c>
      <c r="E8" s="45">
        <v>1.0</v>
      </c>
      <c r="F8" s="47">
        <v>4.09</v>
      </c>
      <c r="G8" s="47">
        <v>4.09</v>
      </c>
      <c r="H8" s="47">
        <f t="shared" si="1"/>
        <v>217.2269681</v>
      </c>
      <c r="I8" s="47">
        <f t="shared" si="2"/>
        <v>105.8140984</v>
      </c>
      <c r="J8" s="47">
        <f t="shared" si="3"/>
        <v>323.0410665</v>
      </c>
      <c r="K8" s="48">
        <v>296.0</v>
      </c>
      <c r="L8" s="48">
        <v>320.0</v>
      </c>
      <c r="M8" s="49">
        <v>65.0</v>
      </c>
      <c r="N8" s="50">
        <f t="shared" si="4"/>
        <v>85.55741172</v>
      </c>
      <c r="O8" s="50">
        <f t="shared" si="5"/>
        <v>81.85366379</v>
      </c>
      <c r="P8" s="50">
        <f t="shared" si="6"/>
        <v>264.8499544</v>
      </c>
      <c r="Q8" s="50">
        <f t="shared" si="7"/>
        <v>253.3847002</v>
      </c>
    </row>
    <row r="9">
      <c r="A9" s="45" t="s">
        <v>102</v>
      </c>
      <c r="B9" s="45" t="s">
        <v>103</v>
      </c>
      <c r="C9" s="45" t="s">
        <v>104</v>
      </c>
      <c r="D9" s="46">
        <v>6.0</v>
      </c>
      <c r="E9" s="45">
        <v>7.0</v>
      </c>
      <c r="F9" s="47">
        <v>4.72</v>
      </c>
      <c r="G9" s="47">
        <v>1.57</v>
      </c>
      <c r="H9" s="47">
        <f t="shared" si="1"/>
        <v>289.3017907</v>
      </c>
      <c r="I9" s="47">
        <f t="shared" si="2"/>
        <v>109.1425923</v>
      </c>
      <c r="J9" s="47">
        <f t="shared" si="3"/>
        <v>398.444383</v>
      </c>
      <c r="K9" s="48">
        <v>296.0</v>
      </c>
      <c r="L9" s="48">
        <v>320.0</v>
      </c>
      <c r="M9" s="49">
        <v>65.0</v>
      </c>
      <c r="N9" s="50">
        <f t="shared" si="4"/>
        <v>111.6313425</v>
      </c>
      <c r="O9" s="50">
        <f t="shared" si="5"/>
        <v>106.6367383</v>
      </c>
      <c r="P9" s="50">
        <f t="shared" si="6"/>
        <v>280.1679413</v>
      </c>
      <c r="Q9" s="50">
        <f t="shared" si="7"/>
        <v>267.6326807</v>
      </c>
    </row>
    <row r="10">
      <c r="A10" s="45" t="s">
        <v>105</v>
      </c>
      <c r="B10" s="45" t="s">
        <v>106</v>
      </c>
      <c r="C10" s="45" t="s">
        <v>107</v>
      </c>
      <c r="D10" s="46">
        <v>30.0</v>
      </c>
      <c r="E10" s="45">
        <v>7.0</v>
      </c>
      <c r="F10" s="47">
        <v>2.59</v>
      </c>
      <c r="G10" s="47">
        <v>2.59</v>
      </c>
      <c r="H10" s="47">
        <f t="shared" si="1"/>
        <v>435.5486351</v>
      </c>
      <c r="I10" s="47">
        <f t="shared" si="2"/>
        <v>297.0260146</v>
      </c>
      <c r="J10" s="47">
        <f t="shared" si="3"/>
        <v>732.5746496</v>
      </c>
      <c r="K10" s="48">
        <v>296.0</v>
      </c>
      <c r="L10" s="48">
        <v>320.0</v>
      </c>
      <c r="M10" s="49">
        <v>65.0</v>
      </c>
      <c r="N10" s="50">
        <f t="shared" si="4"/>
        <v>177.7241247</v>
      </c>
      <c r="O10" s="50">
        <f t="shared" si="5"/>
        <v>170.46345</v>
      </c>
      <c r="P10" s="50">
        <f t="shared" si="6"/>
        <v>242.6020676</v>
      </c>
      <c r="Q10" s="50">
        <f t="shared" si="7"/>
        <v>232.6908938</v>
      </c>
    </row>
    <row r="11">
      <c r="A11" s="45" t="s">
        <v>108</v>
      </c>
      <c r="B11" s="45" t="s">
        <v>109</v>
      </c>
      <c r="C11" s="45" t="s">
        <v>110</v>
      </c>
      <c r="D11" s="46">
        <v>30.0</v>
      </c>
      <c r="E11" s="45">
        <v>7.0</v>
      </c>
      <c r="F11" s="47">
        <v>3.0</v>
      </c>
      <c r="G11" s="47">
        <v>3.0</v>
      </c>
      <c r="H11" s="47">
        <f t="shared" si="1"/>
        <v>584.358867</v>
      </c>
      <c r="I11" s="47">
        <f t="shared" si="2"/>
        <v>398.50839</v>
      </c>
      <c r="J11" s="47">
        <f t="shared" si="3"/>
        <v>982.867257</v>
      </c>
      <c r="K11" s="48">
        <v>296.0</v>
      </c>
      <c r="L11" s="48">
        <v>320.0</v>
      </c>
      <c r="M11" s="49">
        <v>65.0</v>
      </c>
      <c r="N11" s="50">
        <f t="shared" si="4"/>
        <v>238.4456287</v>
      </c>
      <c r="O11" s="50">
        <f t="shared" si="5"/>
        <v>228.7042605</v>
      </c>
      <c r="P11" s="50">
        <f t="shared" si="6"/>
        <v>242.6020676</v>
      </c>
      <c r="Q11" s="50">
        <f t="shared" si="7"/>
        <v>232.6908938</v>
      </c>
    </row>
    <row r="12">
      <c r="A12" s="45" t="s">
        <v>111</v>
      </c>
      <c r="B12" s="45" t="s">
        <v>112</v>
      </c>
      <c r="C12" s="45" t="s">
        <v>113</v>
      </c>
      <c r="D12" s="46">
        <v>42.0</v>
      </c>
      <c r="E12" s="45">
        <v>7.0</v>
      </c>
      <c r="F12" s="47">
        <v>3.5</v>
      </c>
      <c r="G12" s="47">
        <v>1.96</v>
      </c>
      <c r="H12" s="47">
        <f t="shared" si="1"/>
        <v>1113.528285</v>
      </c>
      <c r="I12" s="47">
        <f t="shared" si="2"/>
        <v>170.1010923</v>
      </c>
      <c r="J12" s="47">
        <f t="shared" si="3"/>
        <v>1283.629378</v>
      </c>
      <c r="K12" s="48">
        <v>296.0</v>
      </c>
      <c r="L12" s="48">
        <v>320.0</v>
      </c>
      <c r="M12" s="49">
        <v>65.0</v>
      </c>
      <c r="N12" s="50">
        <f t="shared" si="4"/>
        <v>411.471897</v>
      </c>
      <c r="O12" s="50">
        <f t="shared" si="5"/>
        <v>391.760085</v>
      </c>
      <c r="P12" s="50">
        <f t="shared" si="6"/>
        <v>320.5535057</v>
      </c>
      <c r="Q12" s="50">
        <f t="shared" si="7"/>
        <v>305.1971946</v>
      </c>
    </row>
    <row r="13">
      <c r="A13" s="45" t="s">
        <v>114</v>
      </c>
      <c r="B13" s="45" t="s">
        <v>115</v>
      </c>
      <c r="C13" s="45" t="s">
        <v>116</v>
      </c>
      <c r="D13" s="46">
        <v>54.0</v>
      </c>
      <c r="E13" s="45">
        <v>7.0</v>
      </c>
      <c r="F13" s="47">
        <v>3.18</v>
      </c>
      <c r="G13" s="47">
        <v>3.18</v>
      </c>
      <c r="H13" s="47">
        <f t="shared" si="1"/>
        <v>1181.854121</v>
      </c>
      <c r="I13" s="47">
        <f t="shared" si="2"/>
        <v>447.764027</v>
      </c>
      <c r="J13" s="47">
        <f t="shared" si="3"/>
        <v>1629.618148</v>
      </c>
      <c r="K13" s="48">
        <v>296.0</v>
      </c>
      <c r="L13" s="48">
        <v>320.0</v>
      </c>
      <c r="M13" s="49">
        <v>65.0</v>
      </c>
      <c r="N13" s="50">
        <f t="shared" si="4"/>
        <v>456.1737383</v>
      </c>
      <c r="O13" s="50">
        <f t="shared" si="5"/>
        <v>435.7735039</v>
      </c>
      <c r="P13" s="50">
        <f t="shared" si="6"/>
        <v>279.9267661</v>
      </c>
      <c r="Q13" s="50">
        <f t="shared" si="7"/>
        <v>267.4083523</v>
      </c>
    </row>
    <row r="14">
      <c r="A14" s="45" t="s">
        <v>117</v>
      </c>
      <c r="B14" s="45" t="s">
        <v>118</v>
      </c>
      <c r="C14" s="45" t="s">
        <v>119</v>
      </c>
      <c r="D14" s="46">
        <v>54.0</v>
      </c>
      <c r="E14" s="45">
        <v>7.0</v>
      </c>
      <c r="F14" s="47">
        <v>3.53</v>
      </c>
      <c r="G14" s="47">
        <v>3.53</v>
      </c>
      <c r="H14" s="47">
        <f t="shared" si="1"/>
        <v>1456.327481</v>
      </c>
      <c r="I14" s="47">
        <f t="shared" si="2"/>
        <v>551.7525774</v>
      </c>
      <c r="J14" s="47">
        <f t="shared" si="3"/>
        <v>2008.080059</v>
      </c>
      <c r="K14" s="48">
        <v>296.0</v>
      </c>
      <c r="L14" s="48">
        <v>320.0</v>
      </c>
      <c r="M14" s="49">
        <v>65.0</v>
      </c>
      <c r="N14" s="50">
        <f t="shared" si="4"/>
        <v>562.1153569</v>
      </c>
      <c r="O14" s="50">
        <f t="shared" si="5"/>
        <v>536.9773798</v>
      </c>
      <c r="P14" s="50">
        <f t="shared" si="6"/>
        <v>279.9267661</v>
      </c>
      <c r="Q14" s="50">
        <f t="shared" si="7"/>
        <v>267.4083523</v>
      </c>
    </row>
    <row r="15">
      <c r="A15" s="45" t="s">
        <v>120</v>
      </c>
      <c r="B15" s="45" t="s">
        <v>121</v>
      </c>
      <c r="C15" s="45" t="s">
        <v>122</v>
      </c>
      <c r="D15" s="46">
        <v>42.0</v>
      </c>
      <c r="E15" s="45">
        <v>7.0</v>
      </c>
      <c r="F15" s="47">
        <v>4.57</v>
      </c>
      <c r="G15" s="47">
        <v>2.54</v>
      </c>
      <c r="H15" s="47">
        <f t="shared" si="1"/>
        <v>1898.443011</v>
      </c>
      <c r="I15" s="47">
        <f t="shared" si="2"/>
        <v>285.6685254</v>
      </c>
      <c r="J15" s="47">
        <f t="shared" si="3"/>
        <v>2184.111537</v>
      </c>
      <c r="K15" s="48">
        <v>296.0</v>
      </c>
      <c r="L15" s="48">
        <v>320.0</v>
      </c>
      <c r="M15" s="49">
        <v>65.0</v>
      </c>
      <c r="N15" s="50">
        <f t="shared" si="4"/>
        <v>701.1986439</v>
      </c>
      <c r="O15" s="50">
        <f t="shared" si="5"/>
        <v>667.5837233</v>
      </c>
      <c r="P15" s="50">
        <f t="shared" si="6"/>
        <v>321.0452544</v>
      </c>
      <c r="Q15" s="50">
        <f t="shared" si="7"/>
        <v>305.6545932</v>
      </c>
    </row>
    <row r="16">
      <c r="A16" s="51" t="s">
        <v>123</v>
      </c>
      <c r="B16" s="45" t="s">
        <v>124</v>
      </c>
      <c r="C16" s="45" t="s">
        <v>125</v>
      </c>
      <c r="D16" s="52"/>
      <c r="E16" s="52"/>
      <c r="F16" s="53"/>
      <c r="G16" s="53"/>
      <c r="H16" s="47">
        <f t="shared" si="1"/>
        <v>0</v>
      </c>
      <c r="I16" s="47">
        <f t="shared" si="2"/>
        <v>0</v>
      </c>
      <c r="J16" s="47">
        <f t="shared" si="3"/>
        <v>0</v>
      </c>
      <c r="K16" s="48">
        <v>296.0</v>
      </c>
      <c r="L16" s="48">
        <v>320.0</v>
      </c>
      <c r="M16" s="49">
        <v>65.0</v>
      </c>
      <c r="N16" s="50">
        <f t="shared" si="4"/>
        <v>0</v>
      </c>
      <c r="O16" s="50">
        <f t="shared" si="5"/>
        <v>0</v>
      </c>
      <c r="P16" s="50" t="str">
        <f t="shared" si="6"/>
        <v>#DIV/0!</v>
      </c>
      <c r="Q16" s="50" t="str">
        <f t="shared" si="7"/>
        <v>#DIV/0!</v>
      </c>
    </row>
  </sheetData>
  <mergeCells count="16">
    <mergeCell ref="A1:A2"/>
    <mergeCell ref="B1:C1"/>
    <mergeCell ref="D1:D2"/>
    <mergeCell ref="E1:E2"/>
    <mergeCell ref="F1:F2"/>
    <mergeCell ref="G1:G2"/>
    <mergeCell ref="H1:H2"/>
    <mergeCell ref="P1:P2"/>
    <mergeCell ref="Q1:Q2"/>
    <mergeCell ref="I1:I2"/>
    <mergeCell ref="J1:J2"/>
    <mergeCell ref="K1:K2"/>
    <mergeCell ref="L1:L2"/>
    <mergeCell ref="M1:M2"/>
    <mergeCell ref="N1:N2"/>
    <mergeCell ref="O1:O2"/>
  </mergeCells>
  <drawing r:id="rId1"/>
</worksheet>
</file>